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968d73d6f4b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E" sheetId="1" r:id="R4cc90991f7074fae"/>
    <x:sheet xmlns:r="http://schemas.openxmlformats.org/officeDocument/2006/relationships" name="01_Ranking" sheetId="2" r:id="Rb771b39d7b52451d"/>
    <x:sheet xmlns:r="http://schemas.openxmlformats.org/officeDocument/2006/relationships" name="02_Sensitivity" sheetId="3" r:id="Ra744c2b2e5a340ba"/>
    <x:sheet xmlns:r="http://schemas.openxmlformats.org/officeDocument/2006/relationships" name="03_Revenue" sheetId="4" r:id="Rbbfc0fcb1ff04e83"/>
    <x:sheet xmlns:r="http://schemas.openxmlformats.org/officeDocument/2006/relationships" name="04_Store_PnL" sheetId="5" r:id="R523cb23d08ec417e"/>
    <x:sheet xmlns:r="http://schemas.openxmlformats.org/officeDocument/2006/relationships" name="05_Investment" sheetId="6" r:id="R69913887a13b4764"/>
    <x:sheet xmlns:r="http://schemas.openxmlformats.org/officeDocument/2006/relationships" name="06_Property" sheetId="7" r:id="R57a15e9bdf824581"/>
    <x:sheet xmlns:r="http://schemas.openxmlformats.org/officeDocument/2006/relationships" name="07_Evidence" sheetId="8" r:id="R5ae415684dc7433c"/>
    <x:sheet xmlns:r="http://schemas.openxmlformats.org/officeDocument/2006/relationships" name="08_Source_Audit" sheetId="9" r:id="R17c934aca29443a6"/>
    <x:sheet xmlns:r="http://schemas.openxmlformats.org/officeDocument/2006/relationships" name="09_Original_Outputs" sheetId="10" r:id="Rb43b8f633edf4a32"/>
    <x:sheet xmlns:r="http://schemas.openxmlformats.org/officeDocument/2006/relationships" name="10_Source_Manifest" sheetId="11" r:id="R6c964cdad5c84c6b"/>
    <x:sheet xmlns:r="http://schemas.openxmlformats.org/officeDocument/2006/relationships" name="11_QA" sheetId="12" r:id="Rb1c08545d80f4166"/>
    <x:sheet xmlns:r="http://schemas.openxmlformats.org/officeDocument/2006/relationships" name="10_Formula_QA" sheetId="13" r:id="R3affb5a11f2047f4"/>
    <x:sheet xmlns:r="http://schemas.openxmlformats.org/officeDocument/2006/relationships" name="12_Publication_Check" sheetId="14" r:id="R6262d7f2f45c43c3"/>
    <x:sheet xmlns:r="http://schemas.openxmlformats.org/officeDocument/2006/relationships" name="13_Rates_2026_27" sheetId="15" r:id="R72ad1a78934b49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%"/>
    <x:numFmt numFmtId="201" formatCode="£#,##0.00"/>
    <x:numFmt numFmtId="202" formatCode="0.00"/>
    <x:numFmt numFmtId="203" formatCode="0.0%"/>
    <x:numFmt numFmtId="204" formatCode="£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14C"/>
      </x:patternFill>
    </x:fill>
    <x:fill>
      <x:patternFill patternType="solid">
        <x:fgColor rgb="FF15344A"/>
      </x:patternFill>
    </x:fill>
    <x:fill>
      <x:patternFill patternType="solid">
        <x:fgColor rgb="FF15344A"/>
      </x:patternFill>
    </x:fill>
    <x:fill>
      <x:patternFill patternType="solid">
        <x:fgColor rgb="FF15344A"/>
      </x:patternFill>
    </x:fill>
    <x:fill>
      <x:patternFill patternType="solid">
        <x:fgColor rgb="FF15344A"/>
      </x:patternFill>
    </x:fill>
    <x:fill>
      <x:patternFill patternType="solid">
        <x:fgColor rgb="FF26647B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f59637a8af4760" /><Relationship Type="http://schemas.openxmlformats.org/officeDocument/2006/relationships/theme" Target="/xl/theme/theme1.xml" Id="R6074dbda424544d3" /><Relationship Type="http://schemas.openxmlformats.org/officeDocument/2006/relationships/sharedStrings" Target="/xl/sharedStrings.xml" Id="Re35a86f9666942d9" /><Relationship Type="http://schemas.openxmlformats.org/officeDocument/2006/relationships/worksheet" Target="/xl/worksheets/sheet1.xml" Id="R4cc90991f7074fae" /><Relationship Type="http://schemas.openxmlformats.org/officeDocument/2006/relationships/worksheet" Target="/xl/worksheets/sheet2.xml" Id="Rb771b39d7b52451d" /><Relationship Type="http://schemas.openxmlformats.org/officeDocument/2006/relationships/worksheet" Target="/xl/worksheets/sheet3.xml" Id="Ra744c2b2e5a340ba" /><Relationship Type="http://schemas.openxmlformats.org/officeDocument/2006/relationships/worksheet" Target="/xl/worksheets/sheet4.xml" Id="Rbbfc0fcb1ff04e83" /><Relationship Type="http://schemas.openxmlformats.org/officeDocument/2006/relationships/worksheet" Target="/xl/worksheets/sheet5.xml" Id="R523cb23d08ec417e" /><Relationship Type="http://schemas.openxmlformats.org/officeDocument/2006/relationships/worksheet" Target="/xl/worksheets/sheet6.xml" Id="R69913887a13b4764" /><Relationship Type="http://schemas.openxmlformats.org/officeDocument/2006/relationships/worksheet" Target="/xl/worksheets/sheet7.xml" Id="R57a15e9bdf824581" /><Relationship Type="http://schemas.openxmlformats.org/officeDocument/2006/relationships/worksheet" Target="/xl/worksheets/sheet8.xml" Id="R5ae415684dc7433c" /><Relationship Type="http://schemas.openxmlformats.org/officeDocument/2006/relationships/worksheet" Target="/xl/worksheets/sheet9.xml" Id="R17c934aca29443a6" /><Relationship Type="http://schemas.openxmlformats.org/officeDocument/2006/relationships/worksheet" Target="/xl/worksheets/sheet10.xml" Id="Rb43b8f633edf4a32" /><Relationship Type="http://schemas.openxmlformats.org/officeDocument/2006/relationships/worksheet" Target="/xl/worksheets/sheet11.xml" Id="R6c964cdad5c84c6b" /><Relationship Type="http://schemas.openxmlformats.org/officeDocument/2006/relationships/worksheet" Target="/xl/worksheets/sheet12.xml" Id="Rb1c08545d80f4166" /><Relationship Type="http://schemas.openxmlformats.org/officeDocument/2006/relationships/worksheet" Target="/xl/worksheets/sheet13.xml" Id="R3affb5a11f2047f4" /><Relationship Type="http://schemas.openxmlformats.org/officeDocument/2006/relationships/worksheet" Target="/xl/worksheets/sheet14.xml" Id="R6262d7f2f45c43c3" /><Relationship Type="http://schemas.openxmlformats.org/officeDocument/2006/relationships/worksheet" Target="/xl/worksheets/sheet15.xml" Id="R72ad1a78934b49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94" hidden="0" customWidth="1"/>
    <x:col min="3" max="3" width="24" hidden="0" customWidth="1"/>
  </x:cols>
  <x:sheetData>
    <x:row r="1" ht="27" customHeight="1">
      <x:c r="A1" s="3" t="str">
        <x:v>SECTION</x:v>
      </x:c>
      <x:c r="B1" s="3" t="str">
        <x:v>DESCRIPTION</x:v>
      </x:c>
      <x:c r="C1" s="3" t="str">
        <x:v>STATUS</x:v>
      </x:c>
    </x:row>
    <x:row r="2">
      <x:c r="A2" t="str">
        <x:v>Purpose</x:v>
      </x:c>
      <x:c r="B2" t="str">
        <x:v>Independent hypothetical Bean &amp; Co. market-entry portfolio model</x:v>
      </x:c>
      <x:c r="C2" t="str">
        <x:v>Public portfolio</x:v>
      </x:c>
    </x:row>
    <x:row r="3">
      <x:c r="A3" t="str">
        <x:v>Source of truth</x:v>
      </x:c>
      <x:c r="B3" t="str">
        <x:v>Reconciled from 12 supplied canonical workbooks; original files retained privately</x:v>
      </x:c>
      <x:c r="C3" t="str">
        <x:v>Traceable</x:v>
      </x:c>
    </x:row>
    <x:row r="4">
      <x:c r="A4" t="str">
        <x:v>01_Ranking</x:v>
      </x:c>
      <x:c r="B4" t="str">
        <x:v>Formula-driven 50/25/25 city screen; Manchester incomplete</x:v>
      </x:c>
      <x:c r="C4" t="str">
        <x:v>Provisional</x:v>
      </x:c>
    </x:row>
    <x:row r="5">
      <x:c r="A5" t="str">
        <x:v>02_Sensitivity</x:v>
      </x:c>
      <x:c r="B5" t="str">
        <x:v>Six alternative weight scenarios; calculated winner</x:v>
      </x:c>
      <x:c r="C5" t="str">
        <x:v>Reconciled</x:v>
      </x:c>
    </x:row>
    <x:row r="6">
      <x:c r="A6" t="str">
        <x:v>03_Revenue</x:v>
      </x:c>
      <x:c r="B6" t="str">
        <x:v>Illustrative base-case sales drivers and VAT bridge</x:v>
      </x:c>
      <x:c r="C6" t="str">
        <x:v>Hypothetical</x:v>
      </x:c>
    </x:row>
    <x:row r="7">
      <x:c r="A7" t="str">
        <x:v>04_Store_PnL</x:v>
      </x:c>
      <x:c r="B7" t="str">
        <x:v>Representative mature economics, excludes unknown occupancy items</x:v>
      </x:c>
      <x:c r="C7" t="str">
        <x:v>Not lease-ready</x:v>
      </x:c>
    </x:row>
    <x:row r="8">
      <x:c r="A8" t="str">
        <x:v>05_Investment</x:v>
      </x:c>
      <x:c r="B8" t="str">
        <x:v>Opening cash and simple payback context</x:v>
      </x:c>
      <x:c r="C8" t="str">
        <x:v>Illustrative</x:v>
      </x:c>
    </x:row>
    <x:row r="9">
      <x:c r="A9" t="str">
        <x:v>06_Property</x:v>
      </x:c>
      <x:c r="B9" t="str">
        <x:v>Candidate site listing evidence and missing data</x:v>
      </x:c>
      <x:c r="C9" t="str">
        <x:v>Partial</x:v>
      </x:c>
    </x:row>
    <x:row r="10">
      <x:c r="A10" t="str">
        <x:v>07_Evidence</x:v>
      </x:c>
      <x:c r="B10" t="str">
        <x:v>Source classification and limitations</x:v>
      </x:c>
      <x:c r="C10" t="str">
        <x:v>Documented</x:v>
      </x:c>
    </x:row>
    <x:row r="11">
      <x:c r="A11" t="str">
        <x:v>08_Source_Audit</x:v>
      </x:c>
      <x:c r="B11" t="str">
        <x:v>Research QA and remediation</x:v>
      </x:c>
      <x:c r="C11" t="str">
        <x:v>Documented</x:v>
      </x:c>
    </x:row>
    <x:row r="12">
      <x:c r="A12" t="str">
        <x:v>09_Original_Outputs</x:v>
      </x:c>
      <x:c r="B12" t="str">
        <x:v>Original published ranking and sensitivity outputs</x:v>
      </x:c>
      <x:c r="C12" t="str">
        <x:v>Reference</x:v>
      </x:c>
    </x:row>
    <x:row r="13">
      <x:c r="A13" t="str">
        <x:v>Critical limitation</x:v>
      </x:c>
      <x:c r="B13" t="str">
        <x:v>VAT is simplified as 20% of gross till sales; actual product mix requires tax-specific treatment</x:v>
      </x:c>
      <x:c r="C13" t="str">
        <x:v>Model assumption</x:v>
      </x:c>
    </x:row>
    <x:row r="14">
      <x:c r="A14" t="str">
        <x:v>Critical limitation</x:v>
      </x:c>
      <x:c r="B14" t="str">
        <x:v>Business rates, service charges and site-specific investment hurdles not fully validated</x:v>
      </x:c>
      <x:c r="C14" t="str">
        <x:v>No investment approval</x:v>
      </x:c>
    </x:row>
    <x:row r="15">
      <x:c r="A15" t="str">
        <x:v>Manchester</x:v>
      </x:c>
      <x:c r="B15" t="str">
        <x:v>No comparable economics score; do not impute</x:v>
      </x:c>
      <x:c r="C15" t="str">
        <x:v>Unranked</x:v>
      </x:c>
    </x:row>
    <x:row r="18">
      <x:c r="A18" t="str">
        <x:v>Model repair</x:v>
      </x:c>
      <x:c r="B18" t="str">
        <x:v>Ranking, revenue, P&amp;L and investment calculations linked; see 10_Formula_QA</x:v>
      </x:c>
      <x:c r="C18" t="str">
        <x:v>Formula-driven</x:v>
      </x:c>
    </x:row>
    <x:row r="19">
      <x:c r="A19" t="str">
        <x:v>Cost behaviour</x:v>
      </x:c>
      <x:c r="B19" t="str">
        <x:v>COGS and payment/packaging scale with sales; labour and other opex held fixed within tested volume range</x:v>
      </x:c>
      <x:c r="C19" t="str">
        <x:v>Illustrative</x:v>
      </x:c>
    </x:row>
    <x:row r="20">
      <x:c r="A20" t="str">
        <x:v>Occupancy caveat</x:v>
      </x:c>
      <x:c r="B20" t="str">
        <x:v>Blank rates/service charges are not zero costs. Known contribution is NOT fully loaded contribution.</x:v>
      </x:c>
      <x:c r="C20" t="str">
        <x:v>Not lease-ready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23" hidden="0" customWidth="1"/>
    <x:col min="5" max="5" width="17" hidden="0" customWidth="1"/>
    <x:col min="6" max="6" width="13" hidden="0" customWidth="1"/>
    <x:col min="7" max="7" width="19" hidden="0" customWidth="1"/>
    <x:col min="8" max="8" width="17" hidden="0" customWidth="1"/>
    <x:col min="9" max="9" width="20" hidden="0" customWidth="1"/>
    <x:col min="10" max="10" width="25" hidden="0" customWidth="1"/>
  </x:cols>
  <x:sheetData>
    <x:row r="1" ht="27" customHeight="1">
      <x:c r="A1" s="3" t="str">
        <x:v>City</x:v>
      </x:c>
      <x:c r="B1" s="3" t="str">
        <x:v>Customer score</x:v>
      </x:c>
      <x:c r="C1" s="3" t="str">
        <x:v>Market score</x:v>
      </x:c>
      <x:c r="D1" s="3" t="str">
        <x:v>Representative rent psf</x:v>
      </x:c>
      <x:c r="E1" s="3" t="str">
        <x:v>Rent score</x:v>
      </x:c>
      <x:c r="F1" s="3" t="str">
        <x:v>Candidates</x:v>
      </x:c>
      <x:c r="G1" s="3" t="str">
        <x:v>Economics score</x:v>
      </x:c>
      <x:c r="H1" s="3" t="str">
        <x:v>Final score</x:v>
      </x:c>
      <x:c r="I1" s="3" t="str">
        <x:v>Rank / status</x:v>
      </x:c>
      <x:c r="J1" s="3" t="str">
        <x:v>Source</x:v>
      </x:c>
    </x:row>
    <x:row r="2">
      <x:c r="A2" t="str">
        <x:v>Manchester</x:v>
      </x:c>
      <x:c r="B2" t="n">
        <x:v>64.6654</x:v>
      </x:c>
      <x:c r="C2" t="n">
        <x:v>60.9661</x:v>
      </x:c>
      <x:c r="D2"/>
      <x:c r="E2"/>
      <x:c r="F2" t="n">
        <x:v>2</x:v>
      </x:c>
      <x:c r="G2"/>
      <x:c r="H2" t="str">
        <x:f>IF(A2="Manchester","",B2*0.5+C2*0.25+G2*0.25)</x:f>
      </x:c>
      <x:c r="I2" t="str">
        <x:f>IF(H2="","Unranked",COUNTIF($H$3:$H$6,"&gt;"&amp;H2)+1)</x:f>
        <x:v>Unranked</x:v>
      </x:c>
      <x:c r="J2" t="str">
        <x:v>city_ranking.xlsx</x:v>
      </x:c>
    </x:row>
    <x:row r="3">
      <x:c r="A3" t="str">
        <x:v>Birmingham</x:v>
      </x:c>
      <x:c r="B3" t="n">
        <x:v>15.6789</x:v>
      </x:c>
      <x:c r="C3" t="n">
        <x:v>56.1864</x:v>
      </x:c>
      <x:c r="D3" t="n">
        <x:v>16.13</x:v>
      </x:c>
      <x:c r="E3" t="n">
        <x:v>100</x:v>
      </x:c>
      <x:c r="F3" t="n">
        <x:v>3</x:v>
      </x:c>
      <x:c r="G3" t="n">
        <x:v>100</x:v>
      </x:c>
      <x:c r="H3" t="n">
        <x:f>IF(A3="Manchester","",B3*0.5+C3*0.25+G3*0.25)</x:f>
        <x:v>46.88605</x:v>
      </x:c>
      <x:c r="I3" t="n">
        <x:f>IF(H3="","Unranked",COUNTIF($H$3:$H$6,"&gt;"&amp;H3)+1)</x:f>
        <x:v>2</x:v>
      </x:c>
      <x:c r="J3" t="str">
        <x:v>city_ranking.xlsx</x:v>
      </x:c>
    </x:row>
    <x:row r="4">
      <x:c r="A4" t="str">
        <x:v>Leeds</x:v>
      </x:c>
      <x:c r="B4" t="n">
        <x:v>16.2529</x:v>
      </x:c>
      <x:c r="C4" t="n">
        <x:v>62.6085</x:v>
      </x:c>
      <x:c r="D4" t="n">
        <x:v>33.02</x:v>
      </x:c>
      <x:c r="E4" t="n">
        <x:v>0.23626698168930385</x:v>
      </x:c>
      <x:c r="F4" t="n">
        <x:v>3</x:v>
      </x:c>
      <x:c r="G4" t="n">
        <x:v>50.118133490844656</x:v>
      </x:c>
      <x:c r="H4" t="n">
        <x:f>IF(A4="Manchester","",B4*0.5+C4*0.25+G4*0.25)</x:f>
        <x:v>36.30810837271116</x:v>
      </x:c>
      <x:c r="I4" t="n">
        <x:f>IF(H4="","Unranked",COUNTIF($H$3:$H$6,"&gt;"&amp;H4)+1)</x:f>
        <x:v>3</x:v>
      </x:c>
      <x:c r="J4" t="str">
        <x:v>city_ranking.xlsx</x:v>
      </x:c>
    </x:row>
    <x:row r="5">
      <x:c r="A5" t="str">
        <x:v>Bristol</x:v>
      </x:c>
      <x:c r="B5" t="n">
        <x:v>69.3241</x:v>
      </x:c>
      <x:c r="C5" t="n">
        <x:v>74.8</x:v>
      </x:c>
      <x:c r="D5" t="n">
        <x:v>28.17</x:v>
      </x:c>
      <x:c r="E5" t="n">
        <x:v>28.88363851151801</x:v>
      </x:c>
      <x:c r="F5" t="n">
        <x:v>3</x:v>
      </x:c>
      <x:c r="G5" t="n">
        <x:v>64.44181925575901</x:v>
      </x:c>
      <x:c r="H5" t="n">
        <x:f>IF(A5="Manchester","",B5*0.5+C5*0.25+G5*0.25)</x:f>
        <x:v>69.47250481393975</x:v>
      </x:c>
      <x:c r="I5" t="n">
        <x:f>IF(H5="","Unranked",COUNTIF($H$3:$H$6,"&gt;"&amp;H5)+1)</x:f>
        <x:v>1</x:v>
      </x:c>
      <x:c r="J5" t="str">
        <x:v>city_ranking.xlsx</x:v>
      </x:c>
    </x:row>
    <x:row r="6">
      <x:c r="A6" t="str">
        <x:v>Edinburgh</x:v>
      </x:c>
      <x:c r="B6" t="n">
        <x:v>56.5201</x:v>
      </x:c>
      <x:c r="C6" t="n">
        <x:v>22.5</x:v>
      </x:c>
      <x:c r="D6" t="n">
        <x:v>33.06</x:v>
      </x:c>
      <x:c r="E6" t="n">
        <x:v>0</x:v>
      </x:c>
      <x:c r="F6" t="n">
        <x:v>2</x:v>
      </x:c>
      <x:c r="G6" t="n">
        <x:v>0</x:v>
      </x:c>
      <x:c r="H6" t="n">
        <x:f>IF(A6="Manchester","",B6*0.5+C6*0.25+G6*0.25)</x:f>
        <x:v>33.88505</x:v>
      </x:c>
      <x:c r="I6" t="n">
        <x:f>IF(H6="","Unranked",COUNTIF($H$3:$H$6,"&gt;"&amp;H6)+1)</x:f>
        <x:v>4</x:v>
      </x:c>
      <x:c r="J6" t="str">
        <x:v>city_ranking.xlsx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21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8" hidden="0" customWidth="1"/>
    <x:col min="12" max="12" width="28" hidden="0" customWidth="1"/>
    <x:col min="13" max="13" width="17" hidden="0" customWidth="1"/>
    <x:col min="14" max="14" width="19" hidden="0" customWidth="1"/>
    <x:col min="15" max="15" width="19" hidden="0" customWidth="1"/>
    <x:col min="16" max="16" width="15" hidden="0" customWidth="1"/>
  </x:cols>
  <x:sheetData>
    <x:row r="1" ht="27" customHeight="1">
      <x:c r="A1" s="3" t="str">
        <x:v>Scenario</x:v>
      </x:c>
      <x:c r="B1" s="3" t="str">
        <x:v>Customer weight</x:v>
      </x:c>
      <x:c r="C1" s="3" t="str">
        <x:v>Market weight</x:v>
      </x:c>
      <x:c r="D1" s="3" t="str">
        <x:v>Economics weight</x:v>
      </x:c>
      <x:c r="E1" s="3" t="str">
        <x:v>Manchester</x:v>
      </x:c>
      <x:c r="F1" s="3" t="str">
        <x:v>Birmingham</x:v>
      </x:c>
      <x:c r="G1" s="3" t="str">
        <x:v>Leeds</x:v>
      </x:c>
      <x:c r="H1" s="3" t="str">
        <x:v>Bristol</x:v>
      </x:c>
      <x:c r="I1" s="3" t="str">
        <x:v>Edinburgh</x:v>
      </x:c>
      <x:c r="J1" s="3" t="str">
        <x:v>Winner</x:v>
      </x:c>
      <x:c r="L1" s="12" t="str">
        <x:v>Scenario QA</x:v>
      </x:c>
      <x:c r="M1" s="12" t="str">
        <x:v>Weight sum</x:v>
      </x:c>
      <x:c r="N1" s="12" t="str">
        <x:v>Complete cities</x:v>
      </x:c>
      <x:c r="O1" s="12" t="str">
        <x:v>Bristol lead</x:v>
      </x:c>
      <x:c r="P1" s="12" t="str">
        <x:v>Result</x:v>
      </x:c>
    </x:row>
    <x:row r="2">
      <x:c r="A2" t="str">
        <x:v>Balanced</x:v>
      </x:c>
      <x:c r="B2" t="n">
        <x:v>0.5</x:v>
      </x:c>
      <x:c r="C2" t="n">
        <x:v>0.25</x:v>
      </x:c>
      <x:c r="D2" t="n">
        <x:v>0.25</x:v>
      </x:c>
      <x:c r="E2" t="str">
        <x:f>IF(ISNUMBER('01_Ranking'!G2),'01_Ranking'!B2*$B2+'01_Ranking'!C2*$C2+'01_Ranking'!G2*$D2,"")</x:f>
      </x:c>
      <x:c r="F2" t="n">
        <x:f>IF(ISNUMBER('01_Ranking'!G3),'01_Ranking'!B3*$B2+'01_Ranking'!C3*$C2+'01_Ranking'!G3*$D2,"")</x:f>
        <x:v>46.88605</x:v>
      </x:c>
      <x:c r="G2" t="n">
        <x:f>IF(ISNUMBER('01_Ranking'!G4),'01_Ranking'!B4*$B2+'01_Ranking'!C4*$C2+'01_Ranking'!G4*$D2,"")</x:f>
        <x:v>36.30810837271116</x:v>
      </x:c>
      <x:c r="H2" t="n">
        <x:f>IF(ISNUMBER('01_Ranking'!G5),'01_Ranking'!B5*$B2+'01_Ranking'!C5*$C2+'01_Ranking'!G5*$D2,"")</x:f>
        <x:v>69.47250481393975</x:v>
      </x:c>
      <x:c r="I2" t="n">
        <x:f>IF(ISNUMBER('01_Ranking'!G6),'01_Ranking'!B6*$B2+'01_Ranking'!C6*$C2+'01_Ranking'!G6*$D2,"")</x:f>
        <x:v>33.88505</x:v>
      </x:c>
      <x:c r="J2" t="str">
        <x:f>IF(COUNT(F2:I2)&lt;&gt;4,"Incomplete",IF(H2=MAX(F2:I2),"Bristol","Other"))</x:f>
        <x:v>Bristol</x:v>
      </x:c>
      <x:c r="L2" t="str">
        <x:f>A2</x:f>
        <x:v>Balanced</x:v>
      </x:c>
      <x:c r="M2" s="9" t="n">
        <x:f>SUM(B2:D2)</x:f>
        <x:v>1</x:v>
      </x:c>
      <x:c r="N2" t="n">
        <x:f>COUNT(F2:I2)</x:f>
        <x:v>4</x:v>
      </x:c>
      <x:c r="O2" s="13" t="n">
        <x:f>H2-MAX(F2:G2,I2)</x:f>
        <x:v>22.586454813939753</x:v>
      </x:c>
      <x:c r="P2" t="str">
        <x:f>IF(AND(ABS(M2-1)&lt;0.000001,N2=4,O2&gt;0,J2="Bristol"),"PASS","REVIEW")</x:f>
        <x:v>PASS</x:v>
      </x:c>
    </x:row>
    <x:row r="3">
      <x:c r="A3" t="str">
        <x:v>Demand dominant</x:v>
      </x:c>
      <x:c r="B3" t="n">
        <x:v>0.65</x:v>
      </x:c>
      <x:c r="C3" t="n">
        <x:v>0.2</x:v>
      </x:c>
      <x:c r="D3" t="n">
        <x:v>0.15</x:v>
      </x:c>
      <x:c r="E3" t="str">
        <x:f>IF(ISNUMBER('01_Ranking'!G2),'01_Ranking'!B2*$B3+'01_Ranking'!C2*$C3+'01_Ranking'!G2*$D3,"")</x:f>
      </x:c>
      <x:c r="F3" t="n">
        <x:f>IF(ISNUMBER('01_Ranking'!G3),'01_Ranking'!B3*$B3+'01_Ranking'!C3*$C3+'01_Ranking'!G3*$D3,"")</x:f>
        <x:v>36.428565</x:v>
      </x:c>
      <x:c r="G3" t="n">
        <x:f>IF(ISNUMBER('01_Ranking'!G4),'01_Ranking'!B4*$B3+'01_Ranking'!C4*$C3+'01_Ranking'!G4*$D3,"")</x:f>
        <x:v>30.603805023626702</x:v>
      </x:c>
      <x:c r="H3" t="n">
        <x:f>IF(ISNUMBER('01_Ranking'!G5),'01_Ranking'!B5*$B3+'01_Ranking'!C5*$C3+'01_Ranking'!G5*$D3,"")</x:f>
        <x:v>69.68693788836386</x:v>
      </x:c>
      <x:c r="I3" t="n">
        <x:f>IF(ISNUMBER('01_Ranking'!G6),'01_Ranking'!B6*$B3+'01_Ranking'!C6*$C3+'01_Ranking'!G6*$D3,"")</x:f>
        <x:v>41.238065</x:v>
      </x:c>
      <x:c r="J3" t="str">
        <x:f>IF(COUNT(F3:I3)&lt;&gt;4,"Incomplete",IF(H3=MAX(F3:I3),"Bristol","Other"))</x:f>
        <x:v>Bristol</x:v>
      </x:c>
      <x:c r="L3" t="str">
        <x:f>A3</x:f>
        <x:v>Demand dominant</x:v>
      </x:c>
      <x:c r="M3" s="9" t="n">
        <x:f>SUM(B3:D3)</x:f>
        <x:v>1</x:v>
      </x:c>
      <x:c r="N3" t="n">
        <x:f>COUNT(F3:I3)</x:f>
        <x:v>4</x:v>
      </x:c>
      <x:c r="O3" s="13" t="n">
        <x:f>H3-MAX(F3:G3,I3)</x:f>
        <x:v>28.44887288836386</x:v>
      </x:c>
      <x:c r="P3" t="str">
        <x:f>IF(AND(ABS(M3-1)&lt;0.000001,N3=4,O3&gt;0,J3="Bristol"),"PASS","REVIEW")</x:f>
        <x:v>PASS</x:v>
      </x:c>
    </x:row>
    <x:row r="4">
      <x:c r="A4" t="str">
        <x:v>Economics dominant</x:v>
      </x:c>
      <x:c r="B4" t="n">
        <x:v>0.3</x:v>
      </x:c>
      <x:c r="C4" t="n">
        <x:v>0.2</x:v>
      </x:c>
      <x:c r="D4" t="n">
        <x:v>0.5</x:v>
      </x:c>
      <x:c r="E4" t="str">
        <x:f>IF(ISNUMBER('01_Ranking'!G2),'01_Ranking'!B2*$B4+'01_Ranking'!C2*$C4+'01_Ranking'!G2*$D4,"")</x:f>
      </x:c>
      <x:c r="F4" t="n">
        <x:f>IF(ISNUMBER('01_Ranking'!G3),'01_Ranking'!B3*$B4+'01_Ranking'!C3*$C4+'01_Ranking'!G3*$D4,"")</x:f>
        <x:v>65.94095</x:v>
      </x:c>
      <x:c r="G4" t="n">
        <x:f>IF(ISNUMBER('01_Ranking'!G4),'01_Ranking'!B4*$B4+'01_Ranking'!C4*$C4+'01_Ranking'!G4*$D4,"")</x:f>
        <x:v>42.45663674542233</x:v>
      </x:c>
      <x:c r="H4" t="n">
        <x:f>IF(ISNUMBER('01_Ranking'!G5),'01_Ranking'!B5*$B4+'01_Ranking'!C5*$C4+'01_Ranking'!G5*$D4,"")</x:f>
        <x:v>67.9781396278795</x:v>
      </x:c>
      <x:c r="I4" t="n">
        <x:f>IF(ISNUMBER('01_Ranking'!G6),'01_Ranking'!B6*$B4+'01_Ranking'!C6*$C4+'01_Ranking'!G6*$D4,"")</x:f>
        <x:v>21.45603</x:v>
      </x:c>
      <x:c r="J4" t="str">
        <x:f>IF(COUNT(F4:I4)&lt;&gt;4,"Incomplete",IF(H4=MAX(F4:I4),"Bristol","Other"))</x:f>
        <x:v>Bristol</x:v>
      </x:c>
      <x:c r="L4" t="str">
        <x:f>A4</x:f>
        <x:v>Economics dominant</x:v>
      </x:c>
      <x:c r="M4" s="9" t="n">
        <x:f>SUM(B4:D4)</x:f>
        <x:v>1</x:v>
      </x:c>
      <x:c r="N4" t="n">
        <x:f>COUNT(F4:I4)</x:f>
        <x:v>4</x:v>
      </x:c>
      <x:c r="O4" s="13" t="n">
        <x:f>H4-MAX(F4:G4,I4)</x:f>
        <x:v>2.037189627879499</x:v>
      </x:c>
      <x:c r="P4" t="str">
        <x:f>IF(AND(ABS(M4-1)&lt;0.000001,N4=4,O4&gt;0,J4="Bristol"),"PASS","REVIEW")</x:f>
        <x:v>PASS</x:v>
      </x:c>
    </x:row>
    <x:row r="5">
      <x:c r="A5" t="str">
        <x:v>Competition dominant</x:v>
      </x:c>
      <x:c r="B5" t="n">
        <x:v>0.35</x:v>
      </x:c>
      <x:c r="C5" t="n">
        <x:v>0.45</x:v>
      </x:c>
      <x:c r="D5" t="n">
        <x:v>0.2</x:v>
      </x:c>
      <x:c r="E5" t="str">
        <x:f>IF(ISNUMBER('01_Ranking'!G2),'01_Ranking'!B2*$B5+'01_Ranking'!C2*$C5+'01_Ranking'!G2*$D5,"")</x:f>
      </x:c>
      <x:c r="F5" t="n">
        <x:f>IF(ISNUMBER('01_Ranking'!G3),'01_Ranking'!B3*$B5+'01_Ranking'!C3*$C5+'01_Ranking'!G3*$D5,"")</x:f>
        <x:v>50.771495</x:v>
      </x:c>
      <x:c r="G5" t="n">
        <x:f>IF(ISNUMBER('01_Ranking'!G4),'01_Ranking'!B4*$B5+'01_Ranking'!C4*$C5+'01_Ranking'!G4*$D5,"")</x:f>
        <x:v>43.885966698168936</x:v>
      </x:c>
      <x:c r="H5" t="n">
        <x:f>IF(ISNUMBER('01_Ranking'!G5),'01_Ranking'!B5*$B5+'01_Ranking'!C5*$C5+'01_Ranking'!G5*$D5,"")</x:f>
        <x:v>70.8117988511518</x:v>
      </x:c>
      <x:c r="I5" t="n">
        <x:f>IF(ISNUMBER('01_Ranking'!G6),'01_Ranking'!B6*$B5+'01_Ranking'!C6*$C5+'01_Ranking'!G6*$D5,"")</x:f>
        <x:v>29.907034999999997</x:v>
      </x:c>
      <x:c r="J5" t="str">
        <x:f>IF(COUNT(F5:I5)&lt;&gt;4,"Incomplete",IF(H5=MAX(F5:I5),"Bristol","Other"))</x:f>
        <x:v>Bristol</x:v>
      </x:c>
      <x:c r="L5" t="str">
        <x:f>A5</x:f>
        <x:v>Competition dominant</x:v>
      </x:c>
      <x:c r="M5" s="9" t="n">
        <x:f>SUM(B5:D5)</x:f>
        <x:v>1</x:v>
      </x:c>
      <x:c r="N5" t="n">
        <x:f>COUNT(F5:I5)</x:f>
        <x:v>4</x:v>
      </x:c>
      <x:c r="O5" s="13" t="n">
        <x:f>H5-MAX(F5:G5,I5)</x:f>
        <x:v>20.040303851151805</x:v>
      </x:c>
      <x:c r="P5" t="str">
        <x:f>IF(AND(ABS(M5-1)&lt;0.000001,N5=4,O5&gt;0,J5="Bristol"),"PASS","REVIEW")</x:f>
        <x:v>PASS</x:v>
      </x:c>
    </x:row>
    <x:row r="6">
      <x:c r="A6" t="str">
        <x:v>Customer + economics</x:v>
      </x:c>
      <x:c r="B6" t="n">
        <x:v>0.45</x:v>
      </x:c>
      <x:c r="C6" t="n">
        <x:v>0.15</x:v>
      </x:c>
      <x:c r="D6" t="n">
        <x:v>0.4</x:v>
      </x:c>
      <x:c r="E6" t="str">
        <x:f>IF(ISNUMBER('01_Ranking'!G2),'01_Ranking'!B2*$B6+'01_Ranking'!C2*$C6+'01_Ranking'!G2*$D6,"")</x:f>
      </x:c>
      <x:c r="F6" t="n">
        <x:f>IF(ISNUMBER('01_Ranking'!G3),'01_Ranking'!B3*$B6+'01_Ranking'!C3*$C6+'01_Ranking'!G3*$D6,"")</x:f>
        <x:v>55.483464999999995</x:v>
      </x:c>
      <x:c r="G6" t="n">
        <x:f>IF(ISNUMBER('01_Ranking'!G4),'01_Ranking'!B4*$B6+'01_Ranking'!C4*$C6+'01_Ranking'!G4*$D6,"")</x:f>
        <x:v>36.75233339633787</x:v>
      </x:c>
      <x:c r="H6" t="n">
        <x:f>IF(ISNUMBER('01_Ranking'!G5),'01_Ranking'!B5*$B6+'01_Ranking'!C5*$C6+'01_Ranking'!G5*$D6,"")</x:f>
        <x:v>68.19257270230361</x:v>
      </x:c>
      <x:c r="I6" t="n">
        <x:f>IF(ISNUMBER('01_Ranking'!G6),'01_Ranking'!B6*$B6+'01_Ranking'!C6*$C6+'01_Ranking'!G6*$D6,"")</x:f>
        <x:v>28.809045</x:v>
      </x:c>
      <x:c r="J6" t="str">
        <x:f>IF(COUNT(F6:I6)&lt;&gt;4,"Incomplete",IF(H6=MAX(F6:I6),"Bristol","Other"))</x:f>
        <x:v>Bristol</x:v>
      </x:c>
      <x:c r="L6" t="str">
        <x:f>A6</x:f>
        <x:v>Customer + economics</x:v>
      </x:c>
      <x:c r="M6" s="9" t="n">
        <x:f>SUM(B6:D6)</x:f>
        <x:v>1</x:v>
      </x:c>
      <x:c r="N6" t="n">
        <x:f>COUNT(F6:I6)</x:f>
        <x:v>4</x:v>
      </x:c>
      <x:c r="O6" s="13" t="n">
        <x:f>H6-MAX(F6:G6,I6)</x:f>
        <x:v>12.709107702303612</x:v>
      </x:c>
      <x:c r="P6" t="str">
        <x:f>IF(AND(ABS(M6-1)&lt;0.000001,N6=4,O6&gt;0,J6="Bristol"),"PASS","REVIEW")</x:f>
        <x:v>PASS</x:v>
      </x:c>
    </x:row>
    <x:row r="7">
      <x:c r="A7" t="str">
        <x:v>Near thirds</x:v>
      </x:c>
      <x:c r="B7" t="n">
        <x:v>0.34</x:v>
      </x:c>
      <x:c r="C7" t="n">
        <x:v>0.33</x:v>
      </x:c>
      <x:c r="D7" t="n">
        <x:v>0.33</x:v>
      </x:c>
      <x:c r="E7" t="str">
        <x:f>IF(ISNUMBER('01_Ranking'!G2),'01_Ranking'!B2*$B7+'01_Ranking'!C2*$C7+'01_Ranking'!G2*$D7,"")</x:f>
      </x:c>
      <x:c r="F7" t="n">
        <x:f>IF(ISNUMBER('01_Ranking'!G3),'01_Ranking'!B3*$B7+'01_Ranking'!C3*$C7+'01_Ranking'!G3*$D7,"")</x:f>
        <x:v>56.872338</x:v>
      </x:c>
      <x:c r="G7" t="n">
        <x:f>IF(ISNUMBER('01_Ranking'!G4),'01_Ranking'!B4*$B7+'01_Ranking'!C4*$C7+'01_Ranking'!G4*$D7,"")</x:f>
        <x:v>42.72577505197874</x:v>
      </x:c>
      <x:c r="H7" t="n">
        <x:f>IF(ISNUMBER('01_Ranking'!G5),'01_Ranking'!B5*$B7+'01_Ranking'!C5*$C7+'01_Ranking'!G5*$D7,"")</x:f>
        <x:v>69.51999435440047</x:v>
      </x:c>
      <x:c r="I7" t="n">
        <x:f>IF(ISNUMBER('01_Ranking'!G6),'01_Ranking'!B6*$B7+'01_Ranking'!C6*$C7+'01_Ranking'!G6*$D7,"")</x:f>
        <x:v>26.641834000000003</x:v>
      </x:c>
      <x:c r="J7" t="str">
        <x:f>IF(COUNT(F7:I7)&lt;&gt;4,"Incomplete",IF(H7=MAX(F7:I7),"Bristol","Other"))</x:f>
        <x:v>Bristol</x:v>
      </x:c>
      <x:c r="L7" t="str">
        <x:f>A7</x:f>
        <x:v>Near thirds</x:v>
      </x:c>
      <x:c r="M7" s="9" t="n">
        <x:f>SUM(B7:D7)</x:f>
        <x:v>1</x:v>
      </x:c>
      <x:c r="N7" t="n">
        <x:f>COUNT(F7:I7)</x:f>
        <x:v>4</x:v>
      </x:c>
      <x:c r="O7" s="13" t="n">
        <x:f>H7-MAX(F7:G7,I7)</x:f>
        <x:v>12.647656354400468</x:v>
      </x:c>
      <x:c r="P7" t="str">
        <x:f>IF(AND(ABS(M7-1)&lt;0.000001,N7=4,O7&gt;0,J7="Bristol"),"PASS","REVIEW")</x:f>
        <x:v>PASS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  <x:col min="5" max="5" width="35" hidden="0" customWidth="1"/>
  </x:cols>
  <x:sheetData>
    <x:row r="1" ht="27" customHeight="1">
      <x:c r="A1" s="3" t="str">
        <x:v>Metric</x:v>
      </x:c>
      <x:c r="B1" s="3" t="str">
        <x:v>Downside</x:v>
      </x:c>
      <x:c r="C1" s="3" t="str">
        <x:v>Base</x:v>
      </x:c>
      <x:c r="D1" s="3" t="str">
        <x:v>Upside</x:v>
      </x:c>
      <x:c r="E1" s="3" t="str">
        <x:v>Basis</x:v>
      </x:c>
    </x:row>
    <x:row r="2">
      <x:c r="A2" t="str">
        <x:v>Trading days</x:v>
      </x:c>
      <x:c r="B2" t="n">
        <x:v>350</x:v>
      </x:c>
      <x:c r="C2" t="n">
        <x:v>360</x:v>
      </x:c>
      <x:c r="D2" t="n">
        <x:v>365</x:v>
      </x:c>
      <x:c r="E2" t="str">
        <x:v>revenue_assumptions.xlsx</x:v>
      </x:c>
    </x:row>
    <x:row r="3">
      <x:c r="A3" t="str">
        <x:v>Transactions/day</x:v>
      </x:c>
      <x:c r="B3" t="n">
        <x:v>220</x:v>
      </x:c>
      <x:c r="C3" t="n">
        <x:v>300</x:v>
      </x:c>
      <x:c r="D3" t="n">
        <x:v>380</x:v>
      </x:c>
      <x:c r="E3" t="str">
        <x:v>revenue_assumptions.xlsx</x:v>
      </x:c>
    </x:row>
    <x:row r="4">
      <x:c r="A4" t="str">
        <x:v>Weighted avg drink price</x:v>
      </x:c>
      <x:c r="B4" t="n">
        <x:v>4.055</x:v>
      </x:c>
      <x:c r="C4" t="n">
        <x:v>4.055</x:v>
      </x:c>
      <x:c r="D4" t="n">
        <x:v>4.255</x:v>
      </x:c>
      <x:c r="E4" t="str">
        <x:v>revenue_assumptions.xlsx</x:v>
      </x:c>
    </x:row>
    <x:row r="5">
      <x:c r="A5" t="str">
        <x:v>Food attachment rate</x:v>
      </x:c>
      <x:c r="B5" t="n">
        <x:v>0.25</x:v>
      </x:c>
      <x:c r="C5" t="n">
        <x:v>0.35</x:v>
      </x:c>
      <x:c r="D5" t="n">
        <x:v>0.45</x:v>
      </x:c>
      <x:c r="E5" t="str">
        <x:v>revenue_assumptions.xlsx</x:v>
      </x:c>
    </x:row>
    <x:row r="6">
      <x:c r="A6" t="str">
        <x:v>Avg food item price</x:v>
      </x:c>
      <x:c r="B6" t="n">
        <x:v>3.3</x:v>
      </x:c>
      <x:c r="C6" t="n">
        <x:v>3.5</x:v>
      </x:c>
      <x:c r="D6" t="n">
        <x:v>3.7</x:v>
      </x:c>
      <x:c r="E6" t="str">
        <x:v>revenue_assumptions.xlsx</x:v>
      </x:c>
    </x:row>
    <x:row r="7">
      <x:c r="A7" t="str">
        <x:v>Avg add-ons / transaction</x:v>
      </x:c>
      <x:c r="B7" t="n">
        <x:v>0.05</x:v>
      </x:c>
      <x:c r="C7" t="n">
        <x:v>0.1</x:v>
      </x:c>
      <x:c r="D7" t="n">
        <x:v>0.15</x:v>
      </x:c>
      <x:c r="E7" t="str">
        <x:v>revenue_assumptions.xlsx</x:v>
      </x:c>
    </x:row>
    <x:row r="8">
      <x:c r="A8" t="str">
        <x:v>Average transaction value</x:v>
      </x:c>
      <x:c r="B8" t="n">
        <x:f>B4+B5*B6+B7</x:f>
        <x:v>4.93</x:v>
      </x:c>
      <x:c r="C8" t="n">
        <x:f>C4+C5*C6+C7</x:f>
        <x:v>5.379999999999999</x:v>
      </x:c>
      <x:c r="D8" t="n">
        <x:f>D4+D5*D6+D7</x:f>
        <x:v>6.07</x:v>
      </x:c>
      <x:c r="E8" t="str">
        <x:v>revenue_assumptions.xlsx</x:v>
      </x:c>
    </x:row>
    <x:row r="9">
      <x:c r="A9" t="str">
        <x:v>Mature annual transactions</x:v>
      </x:c>
      <x:c r="B9" t="n">
        <x:f>B2*B3</x:f>
        <x:v>77000</x:v>
      </x:c>
      <x:c r="C9" t="n">
        <x:f>C2*C3</x:f>
        <x:v>108000</x:v>
      </x:c>
      <x:c r="D9" t="n">
        <x:f>D2*D3</x:f>
        <x:v>138700</x:v>
      </x:c>
      <x:c r="E9" t="str">
        <x:v>revenue_assumptions.xlsx</x:v>
      </x:c>
    </x:row>
    <x:row r="10">
      <x:c r="A10" t="str">
        <x:v>Mature annual revenue</x:v>
      </x:c>
      <x:c r="B10" t="n">
        <x:f>B8*B9</x:f>
        <x:v>379610</x:v>
      </x:c>
      <x:c r="C10" t="n">
        <x:f>C8*C9</x:f>
        <x:v>581039.9999999999</x:v>
      </x:c>
      <x:c r="D10" t="n">
        <x:f>D8*D9</x:f>
        <x:v>841909</x:v>
      </x:c>
      <x:c r="E10" t="str">
        <x:v>revenue_assumptions.xlsx</x:v>
      </x:c>
    </x:row>
    <x:row r="11">
      <x:c r="A11" t="str">
        <x:v>Year 1 ramp</x:v>
      </x:c>
      <x:c r="B11" t="n">
        <x:v>0.8</x:v>
      </x:c>
      <x:c r="C11" t="n">
        <x:v>0.9</x:v>
      </x:c>
      <x:c r="D11" t="n">
        <x:v>0.95</x:v>
      </x:c>
      <x:c r="E11" t="str">
        <x:v>revenue_assumptions.xlsx</x:v>
      </x:c>
    </x:row>
    <x:row r="12">
      <x:c r="A12" t="str">
        <x:v>Year 1 revenue</x:v>
      </x:c>
      <x:c r="B12" t="n">
        <x:f>B10*B11</x:f>
        <x:v>303688</x:v>
      </x:c>
      <x:c r="C12" t="n">
        <x:f>C10*C11</x:f>
        <x:v>522935.9999999999</x:v>
      </x:c>
      <x:c r="D12" t="n">
        <x:f>D10*D11</x:f>
        <x:v>799813.5499999999</x:v>
      </x:c>
      <x:c r="E12" t="str">
        <x:v>revenue_assumptions.xlsx</x:v>
      </x:c>
    </x:row>
    <x:row r="13">
      <x:c r="A13" t="str">
        <x:v>Beverage revenue proxy</x:v>
      </x:c>
      <x:c r="B13" t="n">
        <x:f>B4*B9</x:f>
        <x:v>312235</x:v>
      </x:c>
      <x:c r="C13" t="n">
        <x:f>C4*C9</x:f>
        <x:v>437939.99999999994</x:v>
      </x:c>
      <x:c r="D13" t="n">
        <x:f>D4*D9</x:f>
        <x:v>590168.5</x:v>
      </x:c>
      <x:c r="E13" t="str">
        <x:v>revenue_assumptions.xlsx</x:v>
      </x:c>
    </x:row>
    <x:row r="14">
      <x:c r="A14" t="str">
        <x:v>Food revenue proxy</x:v>
      </x:c>
      <x:c r="B14" t="n">
        <x:f>B5*B6*B9</x:f>
        <x:v>63525</x:v>
      </x:c>
      <x:c r="C14" t="n">
        <x:f>C5*C6*C9</x:f>
        <x:v>132300</x:v>
      </x:c>
      <x:c r="D14" t="n">
        <x:f>D5*D6*D9</x:f>
        <x:v>230935.5</x:v>
      </x:c>
      <x:c r="E14" t="str">
        <x:v>revenue_assumptions.xlsx</x:v>
      </x:c>
    </x:row>
    <x:row r="15">
      <x:c r="A15" t="str">
        <x:v>Add-on revenue proxy</x:v>
      </x:c>
      <x:c r="B15" t="n">
        <x:f>B7*B9</x:f>
        <x:v>3850</x:v>
      </x:c>
      <x:c r="C15" t="n">
        <x:f>C7*C9</x:f>
        <x:v>10800</x:v>
      </x:c>
      <x:c r="D15" t="n">
        <x:f>D7*D9</x:f>
        <x:v>20805</x:v>
      </x:c>
      <x:c r="E15" t="str">
        <x:v>revenue_assumptions.xlsx</x:v>
      </x:c>
    </x:row>
    <x:row r="16">
      <x:c r="A16" t="str">
        <x:v>Mature revenue / sq ft</x:v>
      </x:c>
      <x:c r="B16" t="n">
        <x:f>B10/1100</x:f>
        <x:v>345.1</x:v>
      </x:c>
      <x:c r="C16" t="n">
        <x:f>C10/1100</x:f>
        <x:v>528.2181818181817</x:v>
      </x:c>
      <x:c r="D16" t="n">
        <x:f>D10/1100</x:f>
        <x:v>765.3718181818182</x:v>
      </x:c>
      <x:c r="E16" t="str">
        <x:v>revenue_assumptions.xlsx</x:v>
      </x:c>
    </x:row>
    <x:row r="17">
      <x:c r="A17" t="str">
        <x:v>Year 1 revenue / sq ft</x:v>
      </x:c>
      <x:c r="B17" t="n">
        <x:f>B12/1100</x:f>
        <x:v>276.08</x:v>
      </x:c>
      <x:c r="C17" t="n">
        <x:f>C12/1100</x:f>
        <x:v>475.3963636363635</x:v>
      </x:c>
      <x:c r="D17" t="n">
        <x:f>D12/1100</x:f>
        <x:v>727.1032272727272</x:v>
      </x:c>
      <x:c r="E17" t="str">
        <x:v>revenue_assumptions.xlsx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33" hidden="0" customWidth="1"/>
    <x:col min="19" max="19" width="20" hidden="0" customWidth="1"/>
    <x:col min="20" max="20" width="31" hidden="0" customWidth="1"/>
    <x:col min="21" max="21" width="31" hidden="0" customWidth="1"/>
    <x:col min="22" max="22" width="31" hidden="0" customWidth="1"/>
    <x:col min="23" max="23" width="39" hidden="0" customWidth="1"/>
    <x:col min="24" max="24" width="29" hidden="0" customWidth="1"/>
  </x:cols>
  <x:sheetData>
    <x:row r="1" ht="27" customHeight="1">
      <x:c r="A1" s="3" t="str">
        <x:v>city</x:v>
      </x:c>
      <x:c r="B1" s="3" t="str">
        <x:v>property</x:v>
      </x:c>
      <x:c r="C1" s="3" t="str">
        <x:v>gross_till_sales</x:v>
      </x:c>
      <x:c r="D1" s="3" t="str">
        <x:v>simplified_VAT</x:v>
      </x:c>
      <x:c r="E1" s="3" t="str">
        <x:v>net_revenue</x:v>
      </x:c>
      <x:c r="F1" s="3" t="str">
        <x:v>COGS</x:v>
      </x:c>
      <x:c r="G1" s="3" t="str">
        <x:v>gross_profit</x:v>
      </x:c>
      <x:c r="H1" s="3" t="str">
        <x:v>labour</x:v>
      </x:c>
      <x:c r="I1" s="3" t="str">
        <x:v>payment_packaging</x:v>
      </x:c>
      <x:c r="J1" s="3" t="str">
        <x:v>other_fixed_opex</x:v>
      </x:c>
      <x:c r="K1" s="3" t="str">
        <x:v>pre_property_contribution</x:v>
      </x:c>
      <x:c r="L1" s="3" t="str">
        <x:v>rent</x:v>
      </x:c>
      <x:c r="M1" s="3" t="str">
        <x:v>rates</x:v>
      </x:c>
      <x:c r="N1" s="3" t="str">
        <x:v>service_charge</x:v>
      </x:c>
      <x:c r="O1" s="3" t="str">
        <x:v>known_occupancy</x:v>
      </x:c>
      <x:c r="P1" s="3" t="str">
        <x:v>known_contribution</x:v>
      </x:c>
      <x:c r="Q1" s="3" t="str">
        <x:v>known_margin</x:v>
      </x:c>
      <x:c r="R1" s="8" t="str">
        <x:v>Cost driver</x:v>
      </x:c>
      <x:c r="S1" s="8" t="str">
        <x:v>Base value</x:v>
      </x:c>
      <x:c r="T1" s="8" t="str">
        <x:v>Basis</x:v>
      </x:c>
      <x:c r="U1" s="8" t="str">
        <x:v>Model treatment</x:v>
      </x:c>
      <x:c r="V1" s="8" t="str">
        <x:v>Caveat</x:v>
      </x:c>
      <x:c r="W1" s="17" t="str">
        <x:v>Known-cost contribution (floor only)</x:v>
      </x:c>
      <x:c r="X1" s="17" t="str">
        <x:v>Cost completeness</x:v>
      </x:c>
    </x:row>
    <x:row r="2">
      <x:c r="A2" t="str">
        <x:v>Manchester</x:v>
      </x:c>
      <x:c r="B2" t="str">
        <x:v>Unit A The Hive</x:v>
      </x:c>
      <x:c r="C2" t="n">
        <x:f>'03_Revenue'!$C$10</x:f>
        <x:v>581039.9999999999</x:v>
      </x:c>
      <x:c r="D2" t="n">
        <x:f>C2-C2/1.2</x:f>
        <x:v>96839.99999999994</x:v>
      </x:c>
      <x:c r="E2" t="n">
        <x:f>C2-D2</x:f>
        <x:v>484199.99999999994</x:v>
      </x:c>
      <x:c r="F2" t="n">
        <x:f>E2*$S$2</x:f>
        <x:v>132075</x:v>
      </x:c>
      <x:c r="G2" t="n">
        <x:f>E2-F2</x:f>
        <x:v>352124.99999999994</x:v>
      </x:c>
      <x:c r="H2" t="n">
        <x:f>$S$4</x:f>
        <x:v>223668.22</x:v>
      </x:c>
      <x:c r="I2" t="n">
        <x:f>C2*$S$3</x:f>
        <x:v>13073.399999999996</x:v>
      </x:c>
      <x:c r="J2" t="n">
        <x:f>$S$5</x:f>
        <x:v>60500</x:v>
      </x:c>
      <x:c r="K2" t="n">
        <x:f>G2-H2-I2-J2</x:f>
        <x:v>54883.37999999995</x:v>
      </x:c>
      <x:c r="L2"/>
      <x:c r="M2"/>
      <x:c r="N2"/>
      <x:c r="O2" t="str">
        <x:f>IF(COUNT(L2:N2)&lt;3,"",SUM(L2:N2))</x:f>
      </x:c>
      <x:c r="P2" t="str">
        <x:f>IF(O2="","",K2-O2)</x:f>
      </x:c>
      <x:c r="Q2" t="str">
        <x:f>IF(OR(P2="",E2=0),"",P2/E2)</x:f>
      </x:c>
      <x:c r="R2" t="str">
        <x:v>COGS % net revenue</x:v>
      </x:c>
      <x:c r="S2" s="9" t="n">
        <x:v>0.27276951672862454</x:v>
      </x:c>
      <x:c r="T2" t="str">
        <x:v>Original store_pnl.xlsx</x:v>
      </x:c>
      <x:c r="U2" t="str">
        <x:v>Variable with net sales</x:v>
      </x:c>
      <x:c r="V2" t="str">
        <x:v>Proxy; no SKU-level costing</x:v>
      </x:c>
      <x:c r="W2" t="n">
        <x:f>K2-SUM(L2:N2)</x:f>
        <x:v>54883.37999999995</x:v>
      </x:c>
      <x:c r="X2" t="str">
        <x:f>IF(COUNT(L2:N2)=3,"Complete components","Missing property costs")</x:f>
        <x:v>Missing property costs</x:v>
      </x:c>
    </x:row>
    <x:row r="3">
      <x:c r="A3" t="str">
        <x:v>Birmingham</x:v>
      </x:c>
      <x:c r="B3" t="str">
        <x:v>Unit 40 Custard Factory</x:v>
      </x:c>
      <x:c r="C3" t="n">
        <x:f>'03_Revenue'!$C$10</x:f>
        <x:v>581039.9999999999</x:v>
      </x:c>
      <x:c r="D3" t="n">
        <x:f>C3-C3/1.2</x:f>
        <x:v>96839.99999999994</x:v>
      </x:c>
      <x:c r="E3" t="n">
        <x:f>C3-D3</x:f>
        <x:v>484199.99999999994</x:v>
      </x:c>
      <x:c r="F3" t="n">
        <x:f>E3*$S$2</x:f>
        <x:v>132075</x:v>
      </x:c>
      <x:c r="G3" t="n">
        <x:f>E3-F3</x:f>
        <x:v>352124.99999999994</x:v>
      </x:c>
      <x:c r="H3" t="n">
        <x:f>$S$4</x:f>
        <x:v>223668.22</x:v>
      </x:c>
      <x:c r="I3" t="n">
        <x:f>C3*$S$3</x:f>
        <x:v>13073.399999999996</x:v>
      </x:c>
      <x:c r="J3" t="n">
        <x:f>$S$5</x:f>
        <x:v>60500</x:v>
      </x:c>
      <x:c r="K3" t="n">
        <x:f>G3-H3-I3-J3</x:f>
        <x:v>54883.37999999995</x:v>
      </x:c>
      <x:c r="L3" t="n">
        <x:v>25000</x:v>
      </x:c>
      <x:c r="M3" t="n">
        <x:v>6685</x:v>
      </x:c>
      <x:c r="N3" t="n">
        <x:v>8938</x:v>
      </x:c>
      <x:c r="O3" t="n">
        <x:f>IF(COUNT(L3:N3)&lt;3,"",SUM(L3:N3))</x:f>
        <x:v>40623</x:v>
      </x:c>
      <x:c r="P3" t="n">
        <x:f>IF(O3="","",K3-O3)</x:f>
        <x:v>14260.379999999946</x:v>
      </x:c>
      <x:c r="Q3" t="n">
        <x:f>IF(OR(P3="",E3=0),"",P3/E3)</x:f>
        <x:v>0.029451425030978827</x:v>
      </x:c>
      <x:c r="R3" t="str">
        <x:v>Payment/packaging % gross sales</x:v>
      </x:c>
      <x:c r="S3" s="9" t="n">
        <x:v>0.0225</x:v>
      </x:c>
      <x:c r="T3" t="str">
        <x:v>Original store_pnl.xlsx</x:v>
      </x:c>
      <x:c r="U3" t="str">
        <x:v>Variable with gross sales</x:v>
      </x:c>
      <x:c r="V3" t="str">
        <x:v>Simplified blended rate</x:v>
      </x:c>
      <x:c r="W3" t="n">
        <x:f>K3-SUM(L3:N3)</x:f>
        <x:v>14260.379999999946</x:v>
      </x:c>
      <x:c r="X3" t="str">
        <x:f>IF(COUNT(L3:N3)=3,"Complete components","Missing property costs")</x:f>
        <x:v>Complete components</x:v>
      </x:c>
    </x:row>
    <x:row r="4">
      <x:c r="A4" t="str">
        <x:v>Leeds</x:v>
      </x:c>
      <x:c r="B4" t="str">
        <x:v>15-17 Duncan Street</x:v>
      </x:c>
      <x:c r="C4" t="n">
        <x:f>'03_Revenue'!$C$10</x:f>
        <x:v>581039.9999999999</x:v>
      </x:c>
      <x:c r="D4" t="n">
        <x:f>C4-C4/1.2</x:f>
        <x:v>96839.99999999994</x:v>
      </x:c>
      <x:c r="E4" t="n">
        <x:f>C4-D4</x:f>
        <x:v>484199.99999999994</x:v>
      </x:c>
      <x:c r="F4" t="n">
        <x:f>E4*$S$2</x:f>
        <x:v>132075</x:v>
      </x:c>
      <x:c r="G4" t="n">
        <x:f>E4-F4</x:f>
        <x:v>352124.99999999994</x:v>
      </x:c>
      <x:c r="H4" t="n">
        <x:f>$S$4</x:f>
        <x:v>223668.22</x:v>
      </x:c>
      <x:c r="I4" t="n">
        <x:f>C4*$S$3</x:f>
        <x:v>13073.399999999996</x:v>
      </x:c>
      <x:c r="J4" t="n">
        <x:f>$S$5</x:f>
        <x:v>60500</x:v>
      </x:c>
      <x:c r="K4" t="n">
        <x:f>G4-H4-I4-J4</x:f>
        <x:v>54883.37999999995</x:v>
      </x:c>
      <x:c r="L4" t="n">
        <x:v>53000</x:v>
      </x:c>
      <x:c r="M4"/>
      <x:c r="N4" t="n">
        <x:v>3500</x:v>
      </x:c>
      <x:c r="O4" t="str">
        <x:f>IF(COUNT(L4:N4)&lt;3,"",SUM(L4:N4))</x:f>
      </x:c>
      <x:c r="P4" t="str">
        <x:f>IF(O4="","",K4-O4)</x:f>
      </x:c>
      <x:c r="Q4" t="str">
        <x:f>IF(OR(P4="",E4=0),"",P4/E4)</x:f>
      </x:c>
      <x:c r="R4" t="str">
        <x:v>Labour annual base</x:v>
      </x:c>
      <x:c r="S4" s="10" t="n">
        <x:v>223668.22</x:v>
      </x:c>
      <x:c r="T4" t="str">
        <x:v>Original store_pnl.xlsx</x:v>
      </x:c>
      <x:c r="U4" t="str">
        <x:v>Fixed within scenario</x:v>
      </x:c>
      <x:c r="V4" t="str">
        <x:v>Staffing step-changes not modelled</x:v>
      </x:c>
      <x:c r="W4" t="n">
        <x:f>K4-SUM(L4:N4)</x:f>
        <x:v>-1616.6200000000536</x:v>
      </x:c>
      <x:c r="X4" t="str">
        <x:f>IF(COUNT(L4:N4)=3,"Complete components","Missing property costs")</x:f>
        <x:v>Missing property costs</x:v>
      </x:c>
    </x:row>
    <x:row r="5">
      <x:c r="A5" t="str">
        <x:v>Bristol</x:v>
      </x:c>
      <x:c r="B5" t="str">
        <x:v>77 Whiteladies Road</x:v>
      </x:c>
      <x:c r="C5" t="n">
        <x:f>'03_Revenue'!$C$10</x:f>
        <x:v>581039.9999999999</x:v>
      </x:c>
      <x:c r="D5" t="n">
        <x:f>C5-C5/1.2</x:f>
        <x:v>96839.99999999994</x:v>
      </x:c>
      <x:c r="E5" t="n">
        <x:f>C5-D5</x:f>
        <x:v>484199.99999999994</x:v>
      </x:c>
      <x:c r="F5" t="n">
        <x:f>E5*$S$2</x:f>
        <x:v>132075</x:v>
      </x:c>
      <x:c r="G5" t="n">
        <x:f>E5-F5</x:f>
        <x:v>352124.99999999994</x:v>
      </x:c>
      <x:c r="H5" t="n">
        <x:f>$S$4</x:f>
        <x:v>223668.22</x:v>
      </x:c>
      <x:c r="I5" t="n">
        <x:f>C5*$S$3</x:f>
        <x:v>13073.399999999996</x:v>
      </x:c>
      <x:c r="J5" t="n">
        <x:f>$S$5</x:f>
        <x:v>60500</x:v>
      </x:c>
      <x:c r="K5" t="n">
        <x:f>G5-H5-I5-J5</x:f>
        <x:v>54883.37999999995</x:v>
      </x:c>
      <x:c r="L5" t="n">
        <x:v>37500</x:v>
      </x:c>
      <x:c r="M5"/>
      <x:c r="N5"/>
      <x:c r="O5" t="str">
        <x:f>IF(COUNT(L5:N5)&lt;3,"",SUM(L5:N5))</x:f>
      </x:c>
      <x:c r="P5" t="str">
        <x:f>IF(O5="","",K5-O5)</x:f>
      </x:c>
      <x:c r="Q5" t="str">
        <x:f>IF(OR(P5="",E5=0),"",P5/E5)</x:f>
      </x:c>
      <x:c r="R5" t="str">
        <x:v>Other fixed opex</x:v>
      </x:c>
      <x:c r="S5" s="10" t="n">
        <x:v>60500</x:v>
      </x:c>
      <x:c r="T5" t="str">
        <x:v>Original store_pnl.xlsx</x:v>
      </x:c>
      <x:c r="U5" t="str">
        <x:v>Fixed within scenario</x:v>
      </x:c>
      <x:c r="V5" t="str">
        <x:v>Assumed not volume-sensitive</x:v>
      </x:c>
      <x:c r="W5" t="n">
        <x:f>K5-SUM(L5:N5)</x:f>
        <x:v>17383.379999999946</x:v>
      </x:c>
      <x:c r="X5" t="str">
        <x:f>IF(COUNT(L5:N5)=3,"Complete components","Missing property costs")</x:f>
        <x:v>Missing property costs</x:v>
      </x:c>
    </x:row>
    <x:row r="6">
      <x:c r="A6" t="str">
        <x:v>Edinburgh</x:v>
      </x:c>
      <x:c r="B6" t="str">
        <x:v>Gillespie Place</x:v>
      </x:c>
      <x:c r="C6" t="n">
        <x:f>'03_Revenue'!$C$10</x:f>
        <x:v>581039.9999999999</x:v>
      </x:c>
      <x:c r="D6" t="n">
        <x:f>C6-C6/1.2</x:f>
        <x:v>96839.99999999994</x:v>
      </x:c>
      <x:c r="E6" t="n">
        <x:f>C6-D6</x:f>
        <x:v>484199.99999999994</x:v>
      </x:c>
      <x:c r="F6" t="n">
        <x:f>E6*$S$2</x:f>
        <x:v>132075</x:v>
      </x:c>
      <x:c r="G6" t="n">
        <x:f>E6-F6</x:f>
        <x:v>352124.99999999994</x:v>
      </x:c>
      <x:c r="H6" t="n">
        <x:f>$S$4</x:f>
        <x:v>223668.22</x:v>
      </x:c>
      <x:c r="I6" t="n">
        <x:f>C6*$S$3</x:f>
        <x:v>13073.399999999996</x:v>
      </x:c>
      <x:c r="J6" t="n">
        <x:f>$S$5</x:f>
        <x:v>60500</x:v>
      </x:c>
      <x:c r="K6" t="n">
        <x:f>G6-H6-I6-J6</x:f>
        <x:v>54883.37999999995</x:v>
      </x:c>
      <x:c r="L6" t="n">
        <x:v>20500</x:v>
      </x:c>
      <x:c r="M6"/>
      <x:c r="N6"/>
      <x:c r="O6" t="str">
        <x:f>IF(COUNT(L6:N6)&lt;3,"",SUM(L6:N6))</x:f>
      </x:c>
      <x:c r="P6" t="str">
        <x:f>IF(O6="","",K6-O6)</x:f>
      </x:c>
      <x:c r="Q6" t="str">
        <x:f>IF(OR(P6="",E6=0),"",P6/E6)</x:f>
      </x:c>
      <x:c r="R6" t="str">
        <x:v>INCOMPLETE: missing rates, service charge</x:v>
      </x:c>
      <x:c r="W6" t="n">
        <x:f>K6-SUM(L6:N6)</x:f>
        <x:v>34383.37999999995</x:v>
      </x:c>
      <x:c r="X6" t="str">
        <x:f>IF(COUNT(L6:N6)=3,"Complete components","Missing property costs")</x:f>
        <x:v>Missing property costs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7" customHeight="1">
      <x:c r="A1" s="3" t="str">
        <x:v>item</x:v>
      </x:c>
      <x:c r="B1" s="3" t="str">
        <x:v>downside</x:v>
      </x:c>
      <x:c r="C1" s="3" t="str">
        <x:v>base</x:v>
      </x:c>
      <x:c r="D1" s="3" t="str">
        <x:v>upside</x:v>
      </x:c>
    </x:row>
    <x:row r="2">
      <x:c r="A2" t="str">
        <x:v>Fit-out/building works</x:v>
      </x:c>
      <x:c r="B2" t="n">
        <x:v>165000</x:v>
      </x:c>
      <x:c r="C2" t="n">
        <x:v>130000</x:v>
      </x:c>
      <x:c r="D2" t="n">
        <x:v>100000</x:v>
      </x:c>
    </x:row>
    <x:row r="3">
      <x:c r="A3" t="str">
        <x:v>Coffee/kitchen equipment</x:v>
      </x:c>
      <x:c r="B3" t="n">
        <x:v>70000</x:v>
      </x:c>
      <x:c r="C3" t="n">
        <x:v>60000</x:v>
      </x:c>
      <x:c r="D3" t="n">
        <x:v>50000</x:v>
      </x:c>
    </x:row>
    <x:row r="4">
      <x:c r="A4" t="str">
        <x:v>Furniture/signage/POS</x:v>
      </x:c>
      <x:c r="B4" t="n">
        <x:v>40000</x:v>
      </x:c>
      <x:c r="C4" t="n">
        <x:v>32000</x:v>
      </x:c>
      <x:c r="D4" t="n">
        <x:v>26000</x:v>
      </x:c>
    </x:row>
    <x:row r="5">
      <x:c r="A5" t="str">
        <x:v>Professional/legal/design</x:v>
      </x:c>
      <x:c r="B5" t="n">
        <x:v>25000</x:v>
      </x:c>
      <x:c r="C5" t="n">
        <x:v>20000</x:v>
      </x:c>
      <x:c r="D5" t="n">
        <x:v>16000</x:v>
      </x:c>
    </x:row>
    <x:row r="6">
      <x:c r="A6" t="str">
        <x:v>Pre-opening/training</x:v>
      </x:c>
      <x:c r="B6" t="n">
        <x:v>18000</x:v>
      </x:c>
      <x:c r="C6" t="n">
        <x:v>15000</x:v>
      </x:c>
      <x:c r="D6" t="n">
        <x:v>12000</x:v>
      </x:c>
    </x:row>
    <x:row r="7">
      <x:c r="A7" t="str">
        <x:v>Opening inventory/smallwares</x:v>
      </x:c>
      <x:c r="B7" t="n">
        <x:v>12000</x:v>
      </x:c>
      <x:c r="C7" t="n">
        <x:v>10000</x:v>
      </x:c>
      <x:c r="D7" t="n">
        <x:v>8000</x:v>
      </x:c>
    </x:row>
    <x:row r="8">
      <x:c r="A8" t="str">
        <x:v>Working-capital buffer</x:v>
      </x:c>
      <x:c r="B8" t="n">
        <x:v>30000</x:v>
      </x:c>
      <x:c r="C8" t="n">
        <x:v>25000</x:v>
      </x:c>
      <x:c r="D8" t="n">
        <x:v>20000</x:v>
      </x:c>
    </x:row>
    <x:row r="9">
      <x:c r="A9" t="str">
        <x:v>Lease deposit</x:v>
      </x:c>
      <x:c r="B9" t="n">
        <x:v>15000</x:v>
      </x:c>
      <x:c r="C9" t="n">
        <x:v>12000</x:v>
      </x:c>
      <x:c r="D9" t="n">
        <x:v>10000</x:v>
      </x:c>
    </x:row>
    <x:row r="10">
      <x:c r="A10" t="str">
        <x:v>TOTAL</x:v>
      </x:c>
      <x:c r="B10" t="n">
        <x:f>SUM(B2:B9)</x:f>
        <x:v>375000</x:v>
      </x:c>
      <x:c r="C10" t="n">
        <x:f>SUM(C2:C9)</x:f>
        <x:v>304000</x:v>
      </x:c>
      <x:c r="D10" t="n">
        <x:f>SUM(D2:D9)</x:f>
        <x:v>242000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50" hidden="0" customWidth="1"/>
    <x:col min="4" max="4" width="17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27" customHeight="1">
      <x:c r="A1" s="3" t="str">
        <x:v>city</x:v>
      </x:c>
      <x:c r="B1" s="3" t="str">
        <x:v>step14_area</x:v>
      </x:c>
      <x:c r="C1" s="3" t="str">
        <x:v>property</x:v>
      </x:c>
      <x:c r="D1" s="3" t="str">
        <x:v>postcode</x:v>
      </x:c>
      <x:c r="E1" s="3" t="str">
        <x:v>size_sqft</x:v>
      </x:c>
      <x:c r="F1" s="3" t="str">
        <x:v>asking_rent_pa_gbp</x:v>
      </x:c>
      <x:c r="G1" s="3" t="str">
        <x:v>rent_psf_pa</x:v>
      </x:c>
      <x:c r="H1" s="3" t="str">
        <x:v>rates_payable_pa_gbp</x:v>
      </x:c>
      <x:c r="I1" s="3" t="str">
        <x:v>service_or_estate_charge_pa_gbp</x:v>
      </x:c>
      <x:c r="J1" s="3" t="str">
        <x:v>use_fit</x:v>
      </x:c>
      <x:c r="K1" s="3" t="str">
        <x:v>availability_status</x:v>
      </x:c>
      <x:c r="L1" s="3" t="str">
        <x:v>candidate_quality</x:v>
      </x:c>
      <x:c r="M1" s="3" t="str">
        <x:v>source_url</x:v>
      </x:c>
      <x:c r="N1" s="3" t="str">
        <x:v>notes</x:v>
      </x:c>
    </x:row>
    <x:row r="2">
      <x:c r="A2" t="str">
        <x:v>Manchester</x:v>
      </x:c>
      <x:c r="B2" t="str">
        <x:v>Northern Quarter</x:v>
      </x:c>
      <x:c r="C2" t="str">
        <x:v>Unit A, The Hive, 47 Lever Street</x:v>
      </x:c>
      <x:c r="D2" t="str">
        <x:v>M1 1FN</x:v>
      </x:c>
      <x:c r="E2" t="n">
        <x:v>1057</x:v>
      </x:c>
      <x:c r="F2"/>
      <x:c r="G2"/>
      <x:c r="H2"/>
      <x:c r="I2"/>
      <x:c r="J2" t="str">
        <x:v>Advertised specifically as café opportunity</x:v>
      </x:c>
      <x:c r="K2" t="str">
        <x:v>Available</x:v>
      </x:c>
      <x:c r="L2" t="str">
        <x:v>Strong</x:v>
      </x:c>
      <x:c r="M2" t="str">
        <x:v>https://www.metisrealestate.com/component/content/article/manchester-unit-a-the-hive%2C-47-lever-street%2C-northern-quarter%2C-m1-1fn-2.html?Itemid=101&amp;catid=20</x:v>
      </x:c>
      <x:c r="N2" t="str">
        <x:v>Excellent concept/location fit; rent on application prevents full occupancy-cost comparison.</x:v>
      </x:c>
    </x:row>
    <x:row r="3">
      <x:c r="A3" t="str">
        <x:v>Manchester</x:v>
      </x:c>
      <x:c r="B3" t="str">
        <x:v>Ancoats / New Islington</x:v>
      </x:c>
      <x:c r="C3" t="str">
        <x:v>Units 4 &amp; 5 Angel Gardens, Angel Square</x:v>
      </x:c>
      <x:c r="D3" t="str">
        <x:v>M60</x:v>
      </x:c>
      <x:c r="E3" t="n">
        <x:v>5560</x:v>
      </x:c>
      <x:c r="F3" t="n">
        <x:v>65052</x:v>
      </x:c>
      <x:c r="G3" t="n">
        <x:v>11.7</x:v>
      </x:c>
      <x:c r="H3"/>
      <x:c r="I3"/>
      <x:c r="J3" t="str">
        <x:v>Retail / leisure / restaurant / showroom</x:v>
      </x:c>
      <x:c r="K3" t="str">
        <x:v>Marketed</x:v>
      </x:c>
      <x:c r="L3" t="str">
        <x:v>Weak-size</x:v>
      </x:c>
      <x:c r="M3" t="str">
        <x:v>https://www.zoopla.co.uk/to-rent/commercial/retail-premises/ancoats/</x:v>
      </x:c>
      <x:c r="N3" t="str">
        <x:v>Far larger than likely Bean &amp; Co. requirement; retained only as evidence of available commercial space, not preferred candidate.</x:v>
      </x:c>
    </x:row>
    <x:row r="4">
      <x:c r="A4" t="str">
        <x:v>Birmingham</x:v>
      </x:c>
      <x:c r="B4" t="str">
        <x:v>Digbeth</x:v>
      </x:c>
      <x:c r="C4" t="str">
        <x:v>Unit 40, The Custard Factory, Gibb Street</x:v>
      </x:c>
      <x:c r="D4" t="str">
        <x:v>B9 4AA</x:v>
      </x:c>
      <x:c r="E4" t="n">
        <x:v>1550</x:v>
      </x:c>
      <x:c r="F4" t="n">
        <x:v>25000</x:v>
      </x:c>
      <x:c r="G4" t="n">
        <x:v>16.129032258064516</x:v>
      </x:c>
      <x:c r="H4" t="n">
        <x:v>6685</x:v>
      </x:c>
      <x:c r="I4" t="n">
        <x:v>8938</x:v>
      </x:c>
      <x:c r="J4" t="str">
        <x:v>Former fitted restaurant; extraction; toilets</x:v>
      </x:c>
      <x:c r="K4" t="str">
        <x:v>Available</x:v>
      </x:c>
      <x:c r="L4" t="str">
        <x:v>Strong</x:v>
      </x:c>
      <x:c r="M4" t="str">
        <x:v>https://www.zoopla.co.uk/to-rent/commercial/details/74075210/</x:v>
      </x:c>
      <x:c r="N4" t="str">
        <x:v>Service charge £6,214 + estate charge £2,724; insurance £1,133.37 additional. Strong operational fit.</x:v>
      </x:c>
    </x:row>
    <x:row r="5">
      <x:c r="A5" t="str">
        <x:v>Birmingham</x:v>
      </x:c>
      <x:c r="B5" t="str">
        <x:v>Jewellery Quarter</x:v>
      </x:c>
      <x:c r="C5" t="str">
        <x:v>Unit 24 Kenyon Forge, Kenyon Street</x:v>
      </x:c>
      <x:c r="D5" t="str">
        <x:v>B18</x:v>
      </x:c>
      <x:c r="E5" t="n">
        <x:v>700</x:v>
      </x:c>
      <x:c r="F5" t="n">
        <x:v>13000</x:v>
      </x:c>
      <x:c r="G5" t="n">
        <x:v>18.571428571428573</x:v>
      </x:c>
      <x:c r="H5"/>
      <x:c r="I5"/>
      <x:c r="J5" t="str">
        <x:v>Ground-floor office/retail; kitchenette/WC</x:v>
      </x:c>
      <x:c r="K5" t="str">
        <x:v>Available from 1 Nov 2026</x:v>
      </x:c>
      <x:c r="L5" t="str">
        <x:v>Medium</x:v>
      </x:c>
      <x:c r="M5" t="str">
        <x:v>https://www.zoopla.co.uk/to-rent/commercial/details/61473016/</x:v>
      </x:c>
      <x:c r="N5" t="str">
        <x:v>Good size and frontage but café use/planning and extraction would need confirmation.</x:v>
      </x:c>
    </x:row>
    <x:row r="6">
      <x:c r="A6" t="str">
        <x:v>Birmingham</x:v>
      </x:c>
      <x:c r="B6" t="str">
        <x:v>Jewellery Quarter</x:v>
      </x:c>
      <x:c r="C6" t="str">
        <x:v>93 Vyse Street</x:v>
      </x:c>
      <x:c r="D6" t="str">
        <x:v>B18</x:v>
      </x:c>
      <x:c r="E6" t="n">
        <x:v>1627</x:v>
      </x:c>
      <x:c r="F6" t="n">
        <x:v>22750</x:v>
      </x:c>
      <x:c r="G6" t="n">
        <x:v>13.98279041180086</x:v>
      </x:c>
      <x:c r="H6" t="n">
        <x:v>4295.28</x:v>
      </x:c>
      <x:c r="I6"/>
      <x:c r="J6" t="str">
        <x:v>Flexible commercial accommodation</x:v>
      </x:c>
      <x:c r="K6" t="str">
        <x:v>Available</x:v>
      </x:c>
      <x:c r="L6" t="str">
        <x:v>Medium</x:v>
      </x:c>
      <x:c r="M6" t="str">
        <x:v>https://www.zoopla.co.uk/to-rent/commercial/details/71521536/</x:v>
      </x:c>
      <x:c r="N6" t="str">
        <x:v>Prominent frontage opposite station; larger multi-floor configuration may be less efficient for café.</x:v>
      </x:c>
    </x:row>
    <x:row r="7">
      <x:c r="A7" t="str">
        <x:v>Leeds</x:v>
      </x:c>
      <x:c r="B7" t="str">
        <x:v>City Centre Core / Briggate</x:v>
      </x:c>
      <x:c r="C7" t="str">
        <x:v>15-17 Duncan Street</x:v>
      </x:c>
      <x:c r="D7" t="str">
        <x:v>LS1 6DQ</x:v>
      </x:c>
      <x:c r="E7" t="n">
        <x:v>1605</x:v>
      </x:c>
      <x:c r="F7" t="n">
        <x:v>53000</x:v>
      </x:c>
      <x:c r="G7" t="n">
        <x:v>33.021806853582554</x:v>
      </x:c>
      <x:c r="H7"/>
      <x:c r="I7" t="n">
        <x:v>3500</x:v>
      </x:c>
      <x:c r="J7" t="str">
        <x:v>Fully fitted restaurant; 60+ ground-floor covers</x:v>
      </x:c>
      <x:c r="K7" t="str">
        <x:v>Available</x:v>
      </x:c>
      <x:c r="L7" t="str">
        <x:v>Strong</x:v>
      </x:c>
      <x:c r="M7" t="str">
        <x:v>https://www.rightmove.co.uk/properties/775262860569360</x:v>
      </x:c>
      <x:c r="N7" t="str">
        <x:v>Rent rises to £57k from Feb 2027; first-floor bar/storage is additional to stated ground-floor restaurant area.</x:v>
      </x:c>
    </x:row>
    <x:row r="8">
      <x:c r="A8" t="str">
        <x:v>Leeds</x:v>
      </x:c>
      <x:c r="B8" t="str">
        <x:v>Headingley</x:v>
      </x:c>
      <x:c r="C8" t="str">
        <x:v>15 Headingley Lane</x:v>
      </x:c>
      <x:c r="D8" t="str">
        <x:v>LS6</x:v>
      </x:c>
      <x:c r="E8" t="n">
        <x:v>729</x:v>
      </x:c>
      <x:c r="F8" t="n">
        <x:v>20004</x:v>
      </x:c>
      <x:c r="G8" t="n">
        <x:v>27.440329218106996</x:v>
      </x:c>
      <x:c r="H8"/>
      <x:c r="I8"/>
      <x:c r="J8" t="str">
        <x:v>Retail</x:v>
      </x:c>
      <x:c r="K8" t="str">
        <x:v>Available</x:v>
      </x:c>
      <x:c r="L8" t="str">
        <x:v>Medium</x:v>
      </x:c>
      <x:c r="M8" t="str">
        <x:v>https://www.zoopla.co.uk/to-rent/commercial/retail-premises/headingley/</x:v>
      </x:c>
      <x:c r="N8" t="str">
        <x:v>Good café-scale footprint in target catchment; food/café use and extraction need confirmation.</x:v>
      </x:c>
    </x:row>
    <x:row r="9">
      <x:c r="A9" t="str">
        <x:v>Leeds</x:v>
      </x:c>
      <x:c r="B9" t="str">
        <x:v>Headingley</x:v>
      </x:c>
      <x:c r="C9" t="str">
        <x:v>21-25 Headingley Lane</x:v>
      </x:c>
      <x:c r="D9" t="str">
        <x:v>LS6</x:v>
      </x:c>
      <x:c r="E9" t="n">
        <x:v>576</x:v>
      </x:c>
      <x:c r="F9" t="n">
        <x:v>23004</x:v>
      </x:c>
      <x:c r="G9" t="n">
        <x:v>39.9375</x:v>
      </x:c>
      <x:c r="H9"/>
      <x:c r="I9"/>
      <x:c r="J9" t="str">
        <x:v>Retail shop</x:v>
      </x:c>
      <x:c r="K9" t="str">
        <x:v>Available</x:v>
      </x:c>
      <x:c r="L9" t="str">
        <x:v>Medium</x:v>
      </x:c>
      <x:c r="M9" t="str">
        <x:v>https://www.zoopla.co.uk/to-rent/commercial/retail-premises/headingley/</x:v>
      </x:c>
      <x:c r="N9" t="str">
        <x:v>Compact format suitable for a smaller Bean &amp; Co.; use/planning to confirm.</x:v>
      </x:c>
    </x:row>
    <x:row r="10">
      <x:c r="A10" t="str">
        <x:v>Bristol</x:v>
      </x:c>
      <x:c r="B10" t="str">
        <x:v>Clifton Village / Whiteladies Road</x:v>
      </x:c>
      <x:c r="C10" t="str">
        <x:v>77 Whiteladies Road</x:v>
      </x:c>
      <x:c r="D10" t="str">
        <x:v>BS8</x:v>
      </x:c>
      <x:c r="E10" t="n">
        <x:v>1331</x:v>
      </x:c>
      <x:c r="F10" t="n">
        <x:v>37500</x:v>
      </x:c>
      <x:c r="G10" t="n">
        <x:v>28.174305033809166</x:v>
      </x:c>
      <x:c r="H10"/>
      <x:c r="I10"/>
      <x:c r="J10" t="str">
        <x:v>Existing bar/seating, prep kitchen, cellar, WCs</x:v>
      </x:c>
      <x:c r="K10" t="str">
        <x:v>Available</x:v>
      </x:c>
      <x:c r="L10" t="str">
        <x:v>Strong</x:v>
      </x:c>
      <x:c r="M10" t="str">
        <x:v>https://www.zoopla.co.uk/to-rent/commercial/details/74015264/</x:v>
      </x:c>
      <x:c r="N10" t="str">
        <x:v>Strong fitted F&amp;B candidate on established premium pitch; equipment requires ingoing premium.</x:v>
      </x:c>
    </x:row>
    <x:row r="11">
      <x:c r="A11" t="str">
        <x:v>Bristol</x:v>
      </x:c>
      <x:c r="B11" t="str">
        <x:v>Gloucester Road / Stokes Croft</x:v>
      </x:c>
      <x:c r="C11" t="str">
        <x:v>Gloucester Road retail unit, Bishopston</x:v>
      </x:c>
      <x:c r="D11" t="str">
        <x:v>BS7</x:v>
      </x:c>
      <x:c r="E11" t="n">
        <x:v>1405</x:v>
      </x:c>
      <x:c r="F11" t="n">
        <x:v>20000</x:v>
      </x:c>
      <x:c r="G11" t="n">
        <x:v>14.234875444839858</x:v>
      </x:c>
      <x:c r="H11"/>
      <x:c r="I11"/>
      <x:c r="J11" t="str">
        <x:v>Retail; open-plan ground floor plus storage/office</x:v>
      </x:c>
      <x:c r="K11" t="str">
        <x:v>Available</x:v>
      </x:c>
      <x:c r="L11" t="str">
        <x:v>Medium</x:v>
      </x:c>
      <x:c r="M11" t="str">
        <x:v>https://www.zoopla.co.uk/to-rent/commercial/details/72769814/</x:v>
      </x:c>
      <x:c r="N11" t="str">
        <x:v>Prominent target corridor; café planning/extraction to confirm.</x:v>
      </x:c>
    </x:row>
    <x:row r="12">
      <x:c r="A12" t="str">
        <x:v>Bristol</x:v>
      </x:c>
      <x:c r="B12" t="str">
        <x:v>Wapping Wharf / Harbourside</x:v>
      </x:c>
      <x:c r="C12" t="str">
        <x:v>Unit 28, Cargo2, Wapping Wharf</x:v>
      </x:c>
      <x:c r="D12" t="str">
        <x:v>BS1 6ZA</x:v>
      </x:c>
      <x:c r="E12" t="n">
        <x:v>480</x:v>
      </x:c>
      <x:c r="F12" t="n">
        <x:v>25000</x:v>
      </x:c>
      <x:c r="G12" t="n">
        <x:v>52.083333333333336</x:v>
      </x:c>
      <x:c r="H12" t="n">
        <x:v>8234</x:v>
      </x:c>
      <x:c r="I12" t="n">
        <x:v>2361</x:v>
      </x:c>
      <x:c r="J12" t="str">
        <x:v>Fitted kitchen; converted container F&amp;B-style unit</x:v>
      </x:c>
      <x:c r="K12" t="str">
        <x:v>Listing evidence</x:v>
      </x:c>
      <x:c r="L12" t="str">
        <x:v>Strong-format caveat</x:v>
      </x:c>
      <x:c r="M12" t="str">
        <x:v>https://s3-eu-west-1.amazonaws.com/agents-society-assets-files/6f4ba09a5f9675993b26a449bc0b9eb6-unit-28-cargo2-wapping-wharf-bristol.pdf</x:v>
      </x:c>
      <x:c r="N12" t="str">
        <x:v>Highly relevant fitted small-format unit; source brochure is older than other listings, so current availability must be rechecked before final decision.</x:v>
      </x:c>
    </x:row>
    <x:row r="13">
      <x:c r="A13" t="str">
        <x:v>Edinburgh</x:v>
      </x:c>
      <x:c r="B13" t="str">
        <x:v>Bruntsfield / Morningside</x:v>
      </x:c>
      <x:c r="C13" t="str">
        <x:v>Gillespie Place</x:v>
      </x:c>
      <x:c r="D13" t="str">
        <x:v>EH10</x:v>
      </x:c>
      <x:c r="E13" t="n">
        <x:v>620</x:v>
      </x:c>
      <x:c r="F13" t="n">
        <x:v>20500</x:v>
      </x:c>
      <x:c r="G13" t="n">
        <x:v>33.064516129032256</x:v>
      </x:c>
      <x:c r="H13"/>
      <x:c r="I13"/>
      <x:c r="J13" t="str">
        <x:v>Class 1A; may suit Class 3 café subject to planning</x:v>
      </x:c>
      <x:c r="K13" t="str">
        <x:v>Available</x:v>
      </x:c>
      <x:c r="L13" t="str">
        <x:v>Strong</x:v>
      </x:c>
      <x:c r="M13" t="str">
        <x:v>https://www.zoopla.co.uk/to-rent/commercial/details/74075434/</x:v>
      </x:c>
      <x:c r="N13" t="str">
        <x:v>White-box refurbished unit opposite Bruntsfield Links; explicit café-use potential subject to planning.</x:v>
      </x:c>
    </x:row>
    <x:row r="14">
      <x:c r="A14" t="str">
        <x:v>Edinburgh</x:v>
      </x:c>
      <x:c r="B14" t="str">
        <x:v>Bruntsfield / Morningside</x:v>
      </x:c>
      <x:c r="C14" t="str">
        <x:v>166 Bruntsfield Place</x:v>
      </x:c>
      <x:c r="D14" t="str">
        <x:v>EH10 4ER</x:v>
      </x:c>
      <x:c r="E14" t="n">
        <x:v>453</x:v>
      </x:c>
      <x:c r="F14" t="n">
        <x:v>16000</x:v>
      </x:c>
      <x:c r="G14" t="n">
        <x:v>35.32008830022075</x:v>
      </x:c>
      <x:c r="H14"/>
      <x:c r="I14"/>
      <x:c r="J14" t="str">
        <x:v>Retail</x:v>
      </x:c>
      <x:c r="K14" t="str">
        <x:v>Let agreed</x:v>
      </x:c>
      <x:c r="L14" t="str">
        <x:v>Reference only</x:v>
      </x:c>
      <x:c r="M14" t="str">
        <x:v>https://www.zoopla.co.uk/to-rent/commercial/details/73683279/</x:v>
      </x:c>
      <x:c r="N14" t="str">
        <x:v>Not an actionable candidate because let agreed, but useful current rent benchmark.</x:v>
      </x:c>
    </x:row>
    <x:row r="15">
      <x:c r="A15" t="str">
        <x:v>Edinburgh</x:v>
      </x:c>
      <x:c r="B15" t="str">
        <x:v>Stockbridge</x:v>
      </x:c>
      <x:c r="C15" t="str">
        <x:v>13 Comely Bank Road</x:v>
      </x:c>
      <x:c r="D15" t="str">
        <x:v>EH4 1DR</x:v>
      </x:c>
      <x:c r="E15"/>
      <x:c r="F15"/>
      <x:c r="G15"/>
      <x:c r="H15" t="n">
        <x:v>10967</x:v>
      </x:c>
      <x:c r="I15"/>
      <x:c r="J15" t="str">
        <x:v>Class 1A retail</x:v>
      </x:c>
      <x:c r="K15" t="str">
        <x:v>Available</x:v>
      </x:c>
      <x:c r="L15" t="str">
        <x:v>Medium</x:v>
      </x:c>
      <x:c r="M15" t="str">
        <x:v>https://www.rightmove.co.uk/properties/772724136408433</x:v>
      </x:c>
      <x:c r="N15" t="str">
        <x:v>Prime corner unit in affluent Stockbridge catchment; rent/size not publicly quoted in result, so incomplete economics.</x:v>
      </x:c>
    </x:row>
    <x:row r="16">
      <x:c r="A16" t="str">
        <x:v>Edinburgh</x:v>
      </x:c>
      <x:c r="B16" t="str">
        <x:v>Stockbridge</x:v>
      </x:c>
      <x:c r="C16" t="str">
        <x:v>58 Raeburn Place</x:v>
      </x:c>
      <x:c r="D16" t="str">
        <x:v>EH4 1HJ</x:v>
      </x:c>
      <x:c r="E16" t="n">
        <x:v>610</x:v>
      </x:c>
      <x:c r="F16" t="n">
        <x:v>25000</x:v>
      </x:c>
      <x:c r="G16" t="n">
        <x:v>40.98360655737705</x:v>
      </x:c>
      <x:c r="H16" t="n">
        <x:v>7599.8</x:v>
      </x:c>
      <x:c r="I16"/>
      <x:c r="J16" t="str">
        <x:v>Class 1A retail</x:v>
      </x:c>
      <x:c r="K16" t="str">
        <x:v>Recent listing / verify current</x:v>
      </x:c>
      <x:c r="L16" t="str">
        <x:v>Medium-reference</x:v>
      </x:c>
      <x:c r="M16" t="str">
        <x:v>https://www.novaloca.com/retail-premises/to-let/edinburgh/58-raeburn-place/299534</x:v>
      </x:c>
      <x:c r="N16" t="str">
        <x:v>Excellent location and complete rent/RV evidence, but listing now marked expired; retain as market benchmark rather than live candidate.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26" hidden="0" customWidth="1"/>
    <x:col min="4" max="4" width="16" hidden="0" customWidth="1"/>
    <x:col min="5" max="5" width="20" hidden="0" customWidth="1"/>
    <x:col min="6" max="6" width="32" hidden="0" customWidth="1"/>
    <x:col min="7" max="7" width="48" hidden="0" customWidth="1"/>
  </x:cols>
  <x:sheetData>
    <x:row r="1" ht="27" customHeight="1">
      <x:c r="A1" s="3" t="str">
        <x:v>domain</x:v>
      </x:c>
      <x:c r="B1" s="3" t="str">
        <x:v>input / metric</x:v>
      </x:c>
      <x:c r="C1" s="3" t="str">
        <x:v>classification</x:v>
      </x:c>
      <x:c r="D1" s="3" t="str">
        <x:v>quality</x:v>
      </x:c>
      <x:c r="E1" s="3" t="str">
        <x:v>used in decision?</x:v>
      </x:c>
      <x:c r="F1" s="3" t="str">
        <x:v>source / workbook</x:v>
      </x:c>
      <x:c r="G1" s="3" t="str">
        <x:v>rationale / treatment</x:v>
      </x:c>
    </x:row>
    <x:row r="2">
      <x:c r="A2" t="str">
        <x:v>Geography</x:v>
      </x:c>
      <x:c r="B2" t="str">
        <x:v>Local-authority screening boundary</x:v>
      </x:c>
      <x:c r="C2" t="str">
        <x:v>Reported / observed</x:v>
      </x:c>
      <x:c r="D2" t="str">
        <x:v>A</x:v>
      </x:c>
      <x:c r="E2" t="str">
        <x:v>Yes</x:v>
      </x:c>
      <x:c r="F2" t="str">
        <x:v>geography_lookup.xlsx</x:v>
      </x:c>
      <x:c r="G2" t="str">
        <x:v>Official administrative geography; consistent city-screening basis.</x:v>
      </x:c>
    </x:row>
    <x:row r="3">
      <x:c r="A3" t="str">
        <x:v>Demand</x:v>
      </x:c>
      <x:c r="B3" t="str">
        <x:v>Population 2025</x:v>
      </x:c>
      <x:c r="C3" t="str">
        <x:v>Reported / observed</x:v>
      </x:c>
      <x:c r="D3" t="str">
        <x:v>A</x:v>
      </x:c>
      <x:c r="E3" t="str">
        <x:v>Yes</x:v>
      </x:c>
      <x:c r="F3" t="str">
        <x:v>population.xlsx</x:v>
      </x:c>
      <x:c r="G3" t="str">
        <x:v>Official population estimate.</x:v>
      </x:c>
    </x:row>
    <x:row r="4">
      <x:c r="A4" t="str">
        <x:v>Demand</x:v>
      </x:c>
      <x:c r="B4" t="str">
        <x:v>5-year population growth</x:v>
      </x:c>
      <x:c r="C4" t="str">
        <x:v>Calculated</x:v>
      </x:c>
      <x:c r="D4" t="str">
        <x:v>A</x:v>
      </x:c>
      <x:c r="E4" t="str">
        <x:v>Yes</x:v>
      </x:c>
      <x:c r="F4" t="str">
        <x:v>population.xlsx</x:v>
      </x:c>
      <x:c r="G4" t="str">
        <x:v>Calculated from reported population observations.</x:v>
      </x:c>
    </x:row>
    <x:row r="5">
      <x:c r="A5" t="str">
        <x:v>Demand</x:v>
      </x:c>
      <x:c r="B5" t="str">
        <x:v>Age 18–34 share</x:v>
      </x:c>
      <x:c r="C5" t="str">
        <x:v>Calculated</x:v>
      </x:c>
      <x:c r="D5" t="str">
        <x:v>A</x:v>
      </x:c>
      <x:c r="E5" t="str">
        <x:v>Yes</x:v>
      </x:c>
      <x:c r="F5" t="str">
        <x:v>age_profile.xlsx</x:v>
      </x:c>
      <x:c r="G5" t="str">
        <x:v>Calculated from official age-band data.</x:v>
      </x:c>
    </x:row>
    <x:row r="6">
      <x:c r="A6" t="str">
        <x:v>Demand</x:v>
      </x:c>
      <x:c r="B6" t="str">
        <x:v>Age 18–44 share</x:v>
      </x:c>
      <x:c r="C6" t="str">
        <x:v>Calculated</x:v>
      </x:c>
      <x:c r="D6" t="str">
        <x:v>A</x:v>
      </x:c>
      <x:c r="E6" t="str">
        <x:v>Supporting</x:v>
      </x:c>
      <x:c r="F6" t="str">
        <x:v>age_profile.xlsx</x:v>
      </x:c>
      <x:c r="G6" t="str">
        <x:v>Calculated from official age-band data.</x:v>
      </x:c>
    </x:row>
    <x:row r="7">
      <x:c r="A7" t="str">
        <x:v>Demand</x:v>
      </x:c>
      <x:c r="B7" t="str">
        <x:v>Median weekly earnings</x:v>
      </x:c>
      <x:c r="C7" t="str">
        <x:v>Reported / observed</x:v>
      </x:c>
      <x:c r="D7" t="str">
        <x:v>A</x:v>
      </x:c>
      <x:c r="E7" t="str">
        <x:v>Yes</x:v>
      </x:c>
      <x:c r="F7" t="str">
        <x:v>earnings.xlsx</x:v>
      </x:c>
      <x:c r="G7" t="str">
        <x:v>ONS ASHE residence-based earnings.</x:v>
      </x:c>
    </x:row>
    <x:row r="8">
      <x:c r="A8" t="str">
        <x:v>Demand</x:v>
      </x:c>
      <x:c r="B8" t="str">
        <x:v>RQF4+ share</x:v>
      </x:c>
      <x:c r="C8" t="str">
        <x:v>Reported / observed</x:v>
      </x:c>
      <x:c r="D8" t="str">
        <x:v>A</x:v>
      </x:c>
      <x:c r="E8" t="str">
        <x:v>Yes</x:v>
      </x:c>
      <x:c r="F8" t="str">
        <x:v>qualifications.xlsx</x:v>
      </x:c>
      <x:c r="G8" t="str">
        <x:v>Official qualifications statistic.</x:v>
      </x:c>
    </x:row>
    <x:row r="9">
      <x:c r="A9" t="str">
        <x:v>Demand</x:v>
      </x:c>
      <x:c r="B9" t="str">
        <x:v>Employment rate</x:v>
      </x:c>
      <x:c r="C9" t="str">
        <x:v>Reported / observed</x:v>
      </x:c>
      <x:c r="D9" t="str">
        <x:v>A</x:v>
      </x:c>
      <x:c r="E9" t="str">
        <x:v>Supporting</x:v>
      </x:c>
      <x:c r="F9" t="str">
        <x:v>employment_profile.xlsx</x:v>
      </x:c>
      <x:c r="G9" t="str">
        <x:v>Official APS statistic; Manchester suppressed.</x:v>
      </x:c>
    </x:row>
    <x:row r="10">
      <x:c r="A10" t="str">
        <x:v>Demand</x:v>
      </x:c>
      <x:c r="B10" t="str">
        <x:v>SOC 1–3 share</x:v>
      </x:c>
      <x:c r="C10" t="str">
        <x:v>Reported / observed</x:v>
      </x:c>
      <x:c r="D10" t="str">
        <x:v>A</x:v>
      </x:c>
      <x:c r="E10" t="str">
        <x:v>Yes</x:v>
      </x:c>
      <x:c r="F10" t="str">
        <x:v>employment_profile.xlsx</x:v>
      </x:c>
      <x:c r="G10" t="str">
        <x:v>Official APS occupational statistic.</x:v>
      </x:c>
    </x:row>
    <x:row r="11">
      <x:c r="A11" t="str">
        <x:v>Demand</x:v>
      </x:c>
      <x:c r="B11" t="str">
        <x:v>Professional occupations share</x:v>
      </x:c>
      <x:c r="C11" t="str">
        <x:v>Reported / observed</x:v>
      </x:c>
      <x:c r="D11" t="str">
        <x:v>A</x:v>
      </x:c>
      <x:c r="E11" t="str">
        <x:v>Yes</x:v>
      </x:c>
      <x:c r="F11" t="str">
        <x:v>employment_profile.xlsx</x:v>
      </x:c>
      <x:c r="G11" t="str">
        <x:v>Official APS occupational statistic.</x:v>
      </x:c>
    </x:row>
    <x:row r="12">
      <x:c r="A12" t="str">
        <x:v>Demand</x:v>
      </x:c>
      <x:c r="B12" t="str">
        <x:v>Relevant students</x:v>
      </x:c>
      <x:c r="C12" t="str">
        <x:v>Proxy</x:v>
      </x:c>
      <x:c r="D12" t="str">
        <x:v>C</x:v>
      </x:c>
      <x:c r="E12" t="str">
        <x:v>Yes</x:v>
      </x:c>
      <x:c r="F12" t="str">
        <x:v>students.xlsx</x:v>
      </x:c>
      <x:c r="G12" t="str">
        <x:v>Constructed provider-based proxy; functional-city adjustments required.</x:v>
      </x:c>
    </x:row>
    <x:row r="13">
      <x:c r="A13" t="str">
        <x:v>Demand</x:v>
      </x:c>
      <x:c r="B13" t="str">
        <x:v>Students per 10k</x:v>
      </x:c>
      <x:c r="C13" t="str">
        <x:v>Calculated from proxy</x:v>
      </x:c>
      <x:c r="D13" t="str">
        <x:v>C</x:v>
      </x:c>
      <x:c r="E13" t="str">
        <x:v>Yes</x:v>
      </x:c>
      <x:c r="F13" t="str">
        <x:v>students.xlsx</x:v>
      </x:c>
      <x:c r="G13" t="str">
        <x:v>Student proxy divided by population.</x:v>
      </x:c>
    </x:row>
    <x:row r="14">
      <x:c r="A14" t="str">
        <x:v>Competition</x:v>
      </x:c>
      <x:c r="B14" t="str">
        <x:v>SIC 56102 local units</x:v>
      </x:c>
      <x:c r="C14" t="str">
        <x:v>Proxy</x:v>
      </x:c>
      <x:c r="D14" t="str">
        <x:v>B/C</x:v>
      </x:c>
      <x:c r="E14" t="str">
        <x:v>Yes</x:v>
      </x:c>
      <x:c r="F14" t="str">
        <x:v>coffee_supply.xlsx</x:v>
      </x:c>
      <x:c r="G14" t="str">
        <x:v>Broad café/coffee-shop supply proxy; SIC is wider than direct premium competitors.</x:v>
      </x:c>
    </x:row>
    <x:row r="15">
      <x:c r="A15" t="str">
        <x:v>Competition</x:v>
      </x:c>
      <x:c r="B15" t="str">
        <x:v>Major-chain store counts</x:v>
      </x:c>
      <x:c r="C15" t="str">
        <x:v>Proxy</x:v>
      </x:c>
      <x:c r="D15" t="str">
        <x:v>C</x:v>
      </x:c>
      <x:c r="E15" t="str">
        <x:v>Yes</x:v>
      </x:c>
      <x:c r="F15" t="str">
        <x:v>chain_mapping.xlsx</x:v>
      </x:c>
      <x:c r="G15" t="str">
        <x:v>Best-efforts city-labelled snapshot; not audited LA census.</x:v>
      </x:c>
    </x:row>
    <x:row r="16">
      <x:c r="A16" t="str">
        <x:v>Competition</x:v>
      </x:c>
      <x:c r="B16" t="str">
        <x:v>Premium competitor count</x:v>
      </x:c>
      <x:c r="C16" t="str">
        <x:v>Proxy</x:v>
      </x:c>
      <x:c r="D16" t="str">
        <x:v>C</x:v>
      </x:c>
      <x:c r="E16" t="str">
        <x:v>Yes</x:v>
      </x:c>
      <x:c r="F16" t="str">
        <x:v>premium_competition.xlsx</x:v>
      </x:c>
      <x:c r="G16" t="str">
        <x:v>Curated specialist-directory / corroborated proxy.</x:v>
      </x:c>
    </x:row>
    <x:row r="17">
      <x:c r="A17" t="str">
        <x:v>Competition</x:v>
      </x:c>
      <x:c r="B17" t="str">
        <x:v>Competition density metrics</x:v>
      </x:c>
      <x:c r="C17" t="str">
        <x:v>Calculated from proxy</x:v>
      </x:c>
      <x:c r="D17" t="str">
        <x:v>C</x:v>
      </x:c>
      <x:c r="E17" t="str">
        <x:v>Yes</x:v>
      </x:c>
      <x:c r="F17" t="str">
        <x:v>competition_metrics.xlsx</x:v>
      </x:c>
      <x:c r="G17" t="str">
        <x:v>Calculated overlays; chain/premium counts are not additive to SIC total.</x:v>
      </x:c>
    </x:row>
    <x:row r="18">
      <x:c r="A18" t="str">
        <x:v>Market</x:v>
      </x:c>
      <x:c r="B18" t="str">
        <x:v>UK coffee-market trends</x:v>
      </x:c>
      <x:c r="C18" t="str">
        <x:v>Reported / observed</x:v>
      </x:c>
      <x:c r="D18" t="str">
        <x:v>B</x:v>
      </x:c>
      <x:c r="E18" t="str">
        <x:v>Supporting</x:v>
      </x:c>
      <x:c r="F18" t="str">
        <x:v>market_trends.xlsx</x:v>
      </x:c>
      <x:c r="G18" t="str">
        <x:v>National industry evidence; contextual rather than city scoring input.</x:v>
      </x:c>
    </x:row>
    <x:row r="19">
      <x:c r="A19" t="str">
        <x:v>Site</x:v>
      </x:c>
      <x:c r="B19" t="str">
        <x:v>Neighbourhood longlist</x:v>
      </x:c>
      <x:c r="C19" t="str">
        <x:v>Consulting judgement</x:v>
      </x:c>
      <x:c r="D19" t="str">
        <x:v>D</x:v>
      </x:c>
      <x:c r="E19" t="str">
        <x:v>Yes</x:v>
      </x:c>
      <x:c r="F19" t="str">
        <x:v>neighbourhood_longlist.xlsx</x:v>
      </x:c>
      <x:c r="G19" t="str">
        <x:v>Qualitative synthesis of demand, brand fit and urban context.</x:v>
      </x:c>
    </x:row>
    <x:row r="20">
      <x:c r="A20" t="str">
        <x:v>Property</x:v>
      </x:c>
      <x:c r="B20" t="str">
        <x:v>Asking rents / live property evidence</x:v>
      </x:c>
      <x:c r="C20" t="str">
        <x:v>Reported / observed</x:v>
      </x:c>
      <x:c r="D20" t="str">
        <x:v>B</x:v>
      </x:c>
      <x:c r="E20" t="str">
        <x:v>Yes</x:v>
      </x:c>
      <x:c r="F20" t="str">
        <x:v>commercial_rents.xlsx; candidate_properties.xlsx</x:v>
      </x:c>
      <x:c r="G20" t="str">
        <x:v>Live asking evidence; asking rent is not achieved rent and changes over time.</x:v>
      </x:c>
    </x:row>
    <x:row r="21">
      <x:c r="A21" t="str">
        <x:v>Property</x:v>
      </x:c>
      <x:c r="B21" t="str">
        <x:v>Representative rent £/sq ft</x:v>
      </x:c>
      <x:c r="C21" t="str">
        <x:v>Calculated / proxy</x:v>
      </x:c>
      <x:c r="D21" t="str">
        <x:v>B/C</x:v>
      </x:c>
      <x:c r="E21" t="str">
        <x:v>Yes</x:v>
      </x:c>
      <x:c r="F21" t="str">
        <x:v>commercial_rents.xlsx; city_ranking.xlsx</x:v>
      </x:c>
      <x:c r="G21" t="str">
        <x:v>Calculated from selected property evidence; screening proxy.</x:v>
      </x:c>
    </x:row>
    <x:row r="22">
      <x:c r="A22" t="str">
        <x:v>Property</x:v>
      </x:c>
      <x:c r="B22" t="str">
        <x:v>Business-rates framework</x:v>
      </x:c>
      <x:c r="C22" t="str">
        <x:v>Reported / observed</x:v>
      </x:c>
      <x:c r="D22" t="str">
        <x:v>A</x:v>
      </x:c>
      <x:c r="E22" t="str">
        <x:v>Yes</x:v>
      </x:c>
      <x:c r="F22" t="str">
        <x:v>business_rates.xlsx</x:v>
      </x:c>
      <x:c r="G22" t="str">
        <x:v>2026/27 statutory framework.</x:v>
      </x:c>
    </x:row>
    <x:row r="23">
      <x:c r="A23" t="str">
        <x:v>Property</x:v>
      </x:c>
      <x:c r="B23" t="str">
        <x:v>Candidate-specific business rates</x:v>
      </x:c>
      <x:c r="C23" t="str">
        <x:v>Reported / unresolved</x:v>
      </x:c>
      <x:c r="D23" t="str">
        <x:v>B/E</x:v>
      </x:c>
      <x:c r="E23" t="str">
        <x:v>Yes</x:v>
      </x:c>
      <x:c r="F23" t="str">
        <x:v>candidate_properties.xlsx; store_pnl.xlsx</x:v>
      </x:c>
      <x:c r="G23" t="str">
        <x:v>Use quoted bill where available; otherwise unresolved until RV/assessment obtained.</x:v>
      </x:c>
    </x:row>
    <x:row r="24">
      <x:c r="A24" t="str">
        <x:v>Labour</x:v>
      </x:c>
      <x:c r="B24" t="str">
        <x:v>NLW / employer NI statutory inputs</x:v>
      </x:c>
      <x:c r="C24" t="str">
        <x:v>Reported / observed</x:v>
      </x:c>
      <x:c r="D24" t="str">
        <x:v>A</x:v>
      </x:c>
      <x:c r="E24" t="str">
        <x:v>Yes</x:v>
      </x:c>
      <x:c r="F24" t="str">
        <x:v>labour_costs.xlsx</x:v>
      </x:c>
      <x:c r="G24" t="str">
        <x:v>2026/27 statutory inputs.</x:v>
      </x:c>
    </x:row>
    <x:row r="25">
      <x:c r="A25" t="str">
        <x:v>Labour</x:v>
      </x:c>
      <x:c r="B25" t="str">
        <x:v>Bean &amp; Co. wage rates</x:v>
      </x:c>
      <x:c r="C25" t="str">
        <x:v>Assumption</x:v>
      </x:c>
      <x:c r="D25" t="str">
        <x:v>D</x:v>
      </x:c>
      <x:c r="E25" t="str">
        <x:v>Yes</x:v>
      </x:c>
      <x:c r="F25" t="str">
        <x:v>labour_costs.xlsx</x:v>
      </x:c>
      <x:c r="G25" t="str">
        <x:v>Hypothetical employer pay policy.</x:v>
      </x:c>
    </x:row>
    <x:row r="26">
      <x:c r="A26" t="str">
        <x:v>Labour</x:v>
      </x:c>
      <x:c r="B26" t="str">
        <x:v>Annual store labour cost</x:v>
      </x:c>
      <x:c r="C26" t="str">
        <x:v>Calculated from assumption + observed rules</x:v>
      </x:c>
      <x:c r="D26" t="str">
        <x:v>B/D</x:v>
      </x:c>
      <x:c r="E26" t="str">
        <x:v>Yes</x:v>
      </x:c>
      <x:c r="F26" t="str">
        <x:v>labour_costs.xlsx</x:v>
      </x:c>
      <x:c r="G26" t="str">
        <x:v>Combines assumed staffing/pay with statutory NI/pension rules.</x:v>
      </x:c>
    </x:row>
    <x:row r="27">
      <x:c r="A27" t="str">
        <x:v>Pricing</x:v>
      </x:c>
      <x:c r="B27" t="str">
        <x:v>Competitor coffee prices</x:v>
      </x:c>
      <x:c r="C27" t="str">
        <x:v>Reported / observed</x:v>
      </x:c>
      <x:c r="D27" t="str">
        <x:v>B</x:v>
      </x:c>
      <x:c r="E27" t="str">
        <x:v>Supporting</x:v>
      </x:c>
      <x:c r="F27" t="str">
        <x:v>competitor_pricing.xlsx</x:v>
      </x:c>
      <x:c r="G27" t="str">
        <x:v>Current menu evidence; chain/store/location variation.</x:v>
      </x:c>
    </x:row>
    <x:row r="28">
      <x:c r="A28" t="str">
        <x:v>Pricing</x:v>
      </x:c>
      <x:c r="B28" t="str">
        <x:v>Bean &amp; Co. menu prices</x:v>
      </x:c>
      <x:c r="C28" t="str">
        <x:v>Assumption</x:v>
      </x:c>
      <x:c r="D28" t="str">
        <x:v>D</x:v>
      </x:c>
      <x:c r="E28" t="str">
        <x:v>Yes</x:v>
      </x:c>
      <x:c r="F28" t="str">
        <x:v>competitor_pricing.xlsx</x:v>
      </x:c>
      <x:c r="G28" t="str">
        <x:v>Hypothetical pricing architecture benchmarked against market evidence.</x:v>
      </x:c>
    </x:row>
    <x:row r="29">
      <x:c r="A29" t="str">
        <x:v>Operations</x:v>
      </x:c>
      <x:c r="B29" t="str">
        <x:v>Store size / seats / trading days</x:v>
      </x:c>
      <x:c r="C29" t="str">
        <x:v>Assumption</x:v>
      </x:c>
      <x:c r="D29" t="str">
        <x:v>D</x:v>
      </x:c>
      <x:c r="E29" t="str">
        <x:v>Yes</x:v>
      </x:c>
      <x:c r="F29" t="str">
        <x:v>operating_assumptions.xlsx</x:v>
      </x:c>
      <x:c r="G29" t="str">
        <x:v>Hypothetical standard-store operating model.</x:v>
      </x:c>
    </x:row>
    <x:row r="30">
      <x:c r="A30" t="str">
        <x:v>Operations</x:v>
      </x:c>
      <x:c r="B30" t="str">
        <x:v>Staffing model / FTE mix</x:v>
      </x:c>
      <x:c r="C30" t="str">
        <x:v>Assumption</x:v>
      </x:c>
      <x:c r="D30" t="str">
        <x:v>D</x:v>
      </x:c>
      <x:c r="E30" t="str">
        <x:v>Yes</x:v>
      </x:c>
      <x:c r="F30" t="str">
        <x:v>operating_assumptions.xlsx; labour_costs.xlsx</x:v>
      </x:c>
      <x:c r="G30" t="str">
        <x:v>Hypothetical standard-store staffing structure.</x:v>
      </x:c>
    </x:row>
    <x:row r="31">
      <x:c r="A31" t="str">
        <x:v>Operations</x:v>
      </x:c>
      <x:c r="B31" t="str">
        <x:v>COGS percentages</x:v>
      </x:c>
      <x:c r="C31" t="str">
        <x:v>Assumption</x:v>
      </x:c>
      <x:c r="D31" t="str">
        <x:v>D</x:v>
      </x:c>
      <x:c r="E31" t="str">
        <x:v>Yes</x:v>
      </x:c>
      <x:c r="F31" t="str">
        <x:v>operating_assumptions.xlsx</x:v>
      </x:c>
      <x:c r="G31" t="str">
        <x:v>Case-study unit-economics assumptions.</x:v>
      </x:c>
    </x:row>
    <x:row r="32">
      <x:c r="A32" t="str">
        <x:v>Operations</x:v>
      </x:c>
      <x:c r="B32" t="str">
        <x:v>Payment / packaging percentages</x:v>
      </x:c>
      <x:c r="C32" t="str">
        <x:v>Assumption</x:v>
      </x:c>
      <x:c r="D32" t="str">
        <x:v>D</x:v>
      </x:c>
      <x:c r="E32" t="str">
        <x:v>Yes</x:v>
      </x:c>
      <x:c r="F32" t="str">
        <x:v>operating_assumptions.xlsx</x:v>
      </x:c>
      <x:c r="G32" t="str">
        <x:v>Case-study operating assumptions.</x:v>
      </x:c>
    </x:row>
    <x:row r="33">
      <x:c r="A33" t="str">
        <x:v>Operations</x:v>
      </x:c>
      <x:c r="B33" t="str">
        <x:v>Other fixed opex</x:v>
      </x:c>
      <x:c r="C33" t="str">
        <x:v>Assumption</x:v>
      </x:c>
      <x:c r="D33" t="str">
        <x:v>D</x:v>
      </x:c>
      <x:c r="E33" t="str">
        <x:v>Yes</x:v>
      </x:c>
      <x:c r="F33" t="str">
        <x:v>operating_assumptions.xlsx</x:v>
      </x:c>
      <x:c r="G33" t="str">
        <x:v>Case-study operating assumptions.</x:v>
      </x:c>
    </x:row>
    <x:row r="34">
      <x:c r="A34" t="str">
        <x:v>Revenue</x:v>
      </x:c>
      <x:c r="B34" t="str">
        <x:v>Food attachment rate</x:v>
      </x:c>
      <x:c r="C34" t="str">
        <x:v>Assumption</x:v>
      </x:c>
      <x:c r="D34" t="str">
        <x:v>D</x:v>
      </x:c>
      <x:c r="E34" t="str">
        <x:v>Yes</x:v>
      </x:c>
      <x:c r="F34" t="str">
        <x:v>revenue_assumptions.xlsx</x:v>
      </x:c>
      <x:c r="G34" t="str">
        <x:v>No historical Bean &amp; Co. data exist; scenario assumption.</x:v>
      </x:c>
    </x:row>
    <x:row r="35">
      <x:c r="A35" t="str">
        <x:v>Revenue</x:v>
      </x:c>
      <x:c r="B35" t="str">
        <x:v>Base transactions/day</x:v>
      </x:c>
      <x:c r="C35" t="str">
        <x:v>Assumption</x:v>
      </x:c>
      <x:c r="D35" t="str">
        <x:v>D</x:v>
      </x:c>
      <x:c r="E35" t="str">
        <x:v>Yes</x:v>
      </x:c>
      <x:c r="F35" t="str">
        <x:v>revenue_assumptions.xlsx</x:v>
      </x:c>
      <x:c r="G35" t="str">
        <x:v>Key demand assumption; requires site-specific validation.</x:v>
      </x:c>
    </x:row>
    <x:row r="36">
      <x:c r="A36" t="str">
        <x:v>Revenue</x:v>
      </x:c>
      <x:c r="B36" t="str">
        <x:v>Gross ATV</x:v>
      </x:c>
      <x:c r="C36" t="str">
        <x:v>Calculated from assumptions</x:v>
      </x:c>
      <x:c r="D36" t="str">
        <x:v>D</x:v>
      </x:c>
      <x:c r="E36" t="str">
        <x:v>Yes</x:v>
      </x:c>
      <x:c r="F36" t="str">
        <x:v>revenue_assumptions.xlsx; competitor_pricing.xlsx</x:v>
      </x:c>
      <x:c r="G36" t="str">
        <x:v>Derived from hypothetical menu/mix/attachment assumptions.</x:v>
      </x:c>
    </x:row>
    <x:row r="37">
      <x:c r="A37" t="str">
        <x:v>Revenue</x:v>
      </x:c>
      <x:c r="B37" t="str">
        <x:v>Gross till sales</x:v>
      </x:c>
      <x:c r="C37" t="str">
        <x:v>Calculated from assumptions</x:v>
      </x:c>
      <x:c r="D37" t="str">
        <x:v>D</x:v>
      </x:c>
      <x:c r="E37" t="str">
        <x:v>Yes</x:v>
      </x:c>
      <x:c r="F37" t="str">
        <x:v>revenue_assumptions.xlsx</x:v>
      </x:c>
      <x:c r="G37" t="str">
        <x:v>Transactions × ATV × trading days.</x:v>
      </x:c>
    </x:row>
    <x:row r="38">
      <x:c r="A38" t="str">
        <x:v>Accounting</x:v>
      </x:c>
      <x:c r="B38" t="str">
        <x:v>20% VAT screening treatment</x:v>
      </x:c>
      <x:c r="C38" t="str">
        <x:v>Assumption using observed statutory rate</x:v>
      </x:c>
      <x:c r="D38" t="str">
        <x:v>A/D</x:v>
      </x:c>
      <x:c r="E38" t="str">
        <x:v>Yes</x:v>
      </x:c>
      <x:c r="F38" t="str">
        <x:v>store_pnl.xlsx</x:v>
      </x:c>
      <x:c r="G38" t="str">
        <x:v>20% is statutory standard rate; applying it to all modeled sales is a simplifying assumption.</x:v>
      </x:c>
    </x:row>
    <x:row r="39">
      <x:c r="A39" t="str">
        <x:v>P&amp;L</x:v>
      </x:c>
      <x:c r="B39" t="str">
        <x:v>Net revenue / COGS / contribution</x:v>
      </x:c>
      <x:c r="C39" t="str">
        <x:v>Calculated</x:v>
      </x:c>
      <x:c r="D39" t="str">
        <x:v>B/D</x:v>
      </x:c>
      <x:c r="E39" t="str">
        <x:v>Yes</x:v>
      </x:c>
      <x:c r="F39" t="str">
        <x:v>store_pnl.xlsx</x:v>
      </x:c>
      <x:c r="G39" t="str">
        <x:v>Calculated from observed statutory rules plus case assumptions.</x:v>
      </x:c>
    </x:row>
    <x:row r="40">
      <x:c r="A40" t="str">
        <x:v>Investment</x:v>
      </x:c>
      <x:c r="B40" t="str">
        <x:v>Initial cash / capex</x:v>
      </x:c>
      <x:c r="C40" t="str">
        <x:v>Assumption</x:v>
      </x:c>
      <x:c r="D40" t="str">
        <x:v>D</x:v>
      </x:c>
      <x:c r="E40" t="str">
        <x:v>Yes</x:v>
      </x:c>
      <x:c r="F40" t="str">
        <x:v>investment_case.xlsx</x:v>
      </x:c>
      <x:c r="G40" t="str">
        <x:v>Hypothetical capex envelope; not contractor quotes.</x:v>
      </x:c>
    </x:row>
    <x:row r="41">
      <x:c r="A41" t="str">
        <x:v>Investment</x:v>
      </x:c>
      <x:c r="B41" t="str">
        <x:v>Simple payback / store return</x:v>
      </x:c>
      <x:c r="C41" t="str">
        <x:v>Calculated from assumptions</x:v>
      </x:c>
      <x:c r="D41" t="str">
        <x:v>D</x:v>
      </x:c>
      <x:c r="E41" t="str">
        <x:v>Yes</x:v>
      </x:c>
      <x:c r="F41" t="str">
        <x:v>investment_case.xlsx</x:v>
      </x:c>
      <x:c r="G41" t="str">
        <x:v>Decision metric; only as reliable as site P&amp;L/capex assumptions.</x:v>
      </x:c>
    </x:row>
    <x:row r="42">
      <x:c r="A42" t="str">
        <x:v>Scenario</x:v>
      </x:c>
      <x:c r="B42" t="str">
        <x:v>Downside / base / upside cases</x:v>
      </x:c>
      <x:c r="C42" t="str">
        <x:v>Assumption / calculated</x:v>
      </x:c>
      <x:c r="D42" t="str">
        <x:v>D</x:v>
      </x:c>
      <x:c r="E42" t="str">
        <x:v>Yes</x:v>
      </x:c>
      <x:c r="F42" t="str">
        <x:v>scenario_analysis.xlsx</x:v>
      </x:c>
      <x:c r="G42" t="str">
        <x:v>Management-style scenarios, not forecasts.</x:v>
      </x:c>
    </x:row>
    <x:row r="43">
      <x:c r="A43" t="str">
        <x:v>Ranking</x:v>
      </x:c>
      <x:c r="B43" t="str">
        <x:v>Customer-attractiveness score</x:v>
      </x:c>
      <x:c r="C43" t="str">
        <x:v>Calculated</x:v>
      </x:c>
      <x:c r="D43" t="str">
        <x:v>B/C</x:v>
      </x:c>
      <x:c r="E43" t="str">
        <x:v>Yes</x:v>
      </x:c>
      <x:c r="F43" t="str">
        <x:v>city_ranking.xlsx</x:v>
      </x:c>
      <x:c r="G43" t="str">
        <x:v>Weighted composite of reported and proxy inputs.</x:v>
      </x:c>
    </x:row>
    <x:row r="44">
      <x:c r="A44" t="str">
        <x:v>Ranking</x:v>
      </x:c>
      <x:c r="B44" t="str">
        <x:v>Market-opportunity score</x:v>
      </x:c>
      <x:c r="C44" t="str">
        <x:v>Calculated from proxies</x:v>
      </x:c>
      <x:c r="D44" t="str">
        <x:v>C</x:v>
      </x:c>
      <x:c r="E44" t="str">
        <x:v>Yes</x:v>
      </x:c>
      <x:c r="F44" t="str">
        <x:v>city_ranking.xlsx</x:v>
      </x:c>
      <x:c r="G44" t="str">
        <x:v>Composite competition screen.</x:v>
      </x:c>
    </x:row>
    <x:row r="45">
      <x:c r="A45" t="str">
        <x:v>Ranking</x:v>
      </x:c>
      <x:c r="B45" t="str">
        <x:v>Economics / execution score</x:v>
      </x:c>
      <x:c r="C45" t="str">
        <x:v>Calculated from proxy + judgement</x:v>
      </x:c>
      <x:c r="D45" t="str">
        <x:v>C/D</x:v>
      </x:c>
      <x:c r="E45" t="str">
        <x:v>Yes</x:v>
      </x:c>
      <x:c r="F45" t="str">
        <x:v>city_ranking.xlsx</x:v>
      </x:c>
      <x:c r="G45" t="str">
        <x:v>Screening proxy; not equivalent to investment return.</x:v>
      </x:c>
    </x:row>
    <x:row r="46">
      <x:c r="A46" t="str">
        <x:v>Ranking</x:v>
      </x:c>
      <x:c r="B46" t="str">
        <x:v>Overall city score</x:v>
      </x:c>
      <x:c r="C46" t="str">
        <x:v>Calculated</x:v>
      </x:c>
      <x:c r="D46" t="str">
        <x:v>C/D</x:v>
      </x:c>
      <x:c r="E46" t="str">
        <x:v>Yes</x:v>
      </x:c>
      <x:c r="F46" t="str">
        <x:v>city_ranking.xlsx</x:v>
      </x:c>
      <x:c r="G46" t="str">
        <x:v>50/25/25 weighted screening score.</x:v>
      </x:c>
    </x:row>
    <x:row r="47">
      <x:c r="A47" t="str">
        <x:v>Sensitivity</x:v>
      </x:c>
      <x:c r="B47" t="str">
        <x:v>Manchester economics threshold</x:v>
      </x:c>
      <x:c r="C47" t="str">
        <x:v>Calculated</x:v>
      </x:c>
      <x:c r="D47" t="str">
        <x:v>C/D</x:v>
      </x:c>
      <x:c r="E47" t="str">
        <x:v>Yes</x:v>
      </x:c>
      <x:c r="F47" t="str">
        <x:v>sensitivity_analysis.xlsx</x:v>
      </x:c>
      <x:c r="G47" t="str">
        <x:v>Threshold analysis; Manchester remains unresolved until full economics obtained.</x:v>
      </x:c>
    </x:row>
    <x:row r="48">
      <x:c r="A48" t="str">
        <x:v>Strategy</x:v>
      </x:c>
      <x:c r="B48" t="str">
        <x:v>Recommended entry format</x:v>
      </x:c>
      <x:c r="C48" t="str">
        <x:v>Consulting judgement</x:v>
      </x:c>
      <x:c r="D48" t="str">
        <x:v>D</x:v>
      </x:c>
      <x:c r="E48" t="str">
        <x:v>Yes</x:v>
      </x:c>
      <x:c r="F48" t="str">
        <x:v>entry_strategy.xlsx</x:v>
      </x:c>
      <x:c r="G48" t="str">
        <x:v>Recommendation synthesised from evidence and operating model.</x:v>
      </x:c>
    </x:row>
    <x:row r="49">
      <x:c r="A49" t="str">
        <x:v>Strategy</x:v>
      </x:c>
      <x:c r="B49" t="str">
        <x:v>1+1+1 rollout</x:v>
      </x:c>
      <x:c r="C49" t="str">
        <x:v>Consulting judgement</x:v>
      </x:c>
      <x:c r="D49" t="str">
        <x:v>D</x:v>
      </x:c>
      <x:c r="E49" t="str">
        <x:v>Yes</x:v>
      </x:c>
      <x:c r="F49" t="str">
        <x:v>rollout_plan.xlsx</x:v>
      </x:c>
      <x:c r="G49" t="str">
        <x:v>Risk-managed recommendation, not observed company policy.</x:v>
      </x:c>
    </x:row>
    <x:row r="50">
      <x:c r="A50" t="str">
        <x:v>Strategy</x:v>
      </x:c>
      <x:c r="B50" t="str">
        <x:v>KPI thresholds</x:v>
      </x:c>
      <x:c r="C50" t="str">
        <x:v>Assumption / consulting judgement</x:v>
      </x:c>
      <x:c r="D50" t="str">
        <x:v>D</x:v>
      </x:c>
      <x:c r="E50" t="str">
        <x:v>Yes</x:v>
      </x:c>
      <x:c r="F50" t="str">
        <x:v>kpi_gates.xlsx</x:v>
      </x:c>
      <x:c r="G50" t="str">
        <x:v>Management control thresholds, not historical Bean &amp; Co. benchmarks.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25" hidden="0" customWidth="1"/>
    <x:col min="4" max="4" width="65" hidden="0" customWidth="1"/>
    <x:col min="5" max="5" width="65" hidden="0" customWidth="1"/>
    <x:col min="6" max="6" width="18" hidden="0" customWidth="1"/>
  </x:cols>
  <x:sheetData>
    <x:row r="1" ht="27" customHeight="1">
      <x:c r="A1" s="3" t="str">
        <x:v>step</x:v>
      </x:c>
      <x:c r="B1" s="3" t="str">
        <x:v>dataset / model</x:v>
      </x:c>
      <x:c r="C1" s="3" t="str">
        <x:v>status</x:v>
      </x:c>
      <x:c r="D1" s="3" t="str">
        <x:v>audit finding</x:v>
      </x:c>
      <x:c r="E1" s="3" t="str">
        <x:v>required action</x:v>
      </x:c>
      <x:c r="F1" s="3" t="str">
        <x:v>priority</x:v>
      </x:c>
    </x:row>
    <x:row r="2">
      <x:c r="A2" t="str">
        <x:v>1-6</x:v>
      </x:c>
      <x:c r="B2" t="str">
        <x:v>Geography + official demographics</x:v>
      </x:c>
      <x:c r="C2" t="str">
        <x:v>PASS</x:v>
      </x:c>
      <x:c r="D2" t="str">
        <x:v>Fixed LA/council geography and official ONS/Nomis inputs are suitable; Manchester employment suppression correctly left blank.</x:v>
      </x:c>
      <x:c r="E2" t="str">
        <x:v>Retain raw files/version metadata.</x:v>
      </x:c>
      <x:c r="F2" t="str">
        <x:v>Low</x:v>
      </x:c>
    </x:row>
    <x:row r="3">
      <x:c r="A3" t="str">
        <x:v>7</x:v>
      </x:c>
      <x:c r="B3" t="str">
        <x:v>Students</x:v>
      </x:c>
      <x:c r="C3" t="str">
        <x:v>PASS WITH PROXY</x:v>
      </x:c>
      <x:c r="D3" t="str">
        <x:v>HESA/provider enrolment proxy requires campus-boundary adjustments, especially Bristol/Edinburgh.</x:v>
      </x:c>
      <x:c r="E3" t="str">
        <x:v>Preserve provider methodology/caveats.</x:v>
      </x:c>
      <x:c r="F3" t="str">
        <x:v>Medium</x:v>
      </x:c>
    </x:row>
    <x:row r="4">
      <x:c r="A4" t="str">
        <x:v>9</x:v>
      </x:c>
      <x:c r="B4" t="str">
        <x:v>Broad coffee supply</x:v>
      </x:c>
      <x:c r="C4" t="str">
        <x:v>PASS WITH PROXY</x:v>
      </x:c>
      <x:c r="D4" t="str">
        <x:v>SIC 56102 is broader than coffee shops.</x:v>
      </x:c>
      <x:c r="E4" t="str">
        <x:v>Never present as exact coffee-shop count.</x:v>
      </x:c>
      <x:c r="F4" t="str">
        <x:v>Medium</x:v>
      </x:c>
    </x:row>
    <x:row r="5">
      <x:c r="A5" t="str">
        <x:v>10-11</x:v>
      </x:c>
      <x:c r="B5" t="str">
        <x:v>Chain + premium competition</x:v>
      </x:c>
      <x:c r="C5" t="str">
        <x:v>PASS WITH LIMITATION</x:v>
      </x:c>
      <x:c r="D5" t="str">
        <x:v>Directional city-labelled/curated datasets are consistent but not exhaustive administrative-boundary censuses.</x:v>
      </x:c>
      <x:c r="E5" t="str">
        <x:v>Spot-check final winner and retain proxy wording.</x:v>
      </x:c>
      <x:c r="F5" t="str">
        <x:v>Medium</x:v>
      </x:c>
    </x:row>
    <x:row r="6">
      <x:c r="A6" t="str">
        <x:v>13</x:v>
      </x:c>
      <x:c r="B6" t="str">
        <x:v>Market trends</x:v>
      </x:c>
      <x:c r="C6" t="str">
        <x:v>PASS</x:v>
      </x:c>
      <x:c r="D6" t="str">
        <x:v>National industry evidence is appropriate for category context, not city scoring.</x:v>
      </x:c>
      <x:c r="E6" t="str">
        <x:v>Retain dates/access dates.</x:v>
      </x:c>
      <x:c r="F6" t="str">
        <x:v>Low</x:v>
      </x:c>
    </x:row>
    <x:row r="7">
      <x:c r="A7" t="str">
        <x:v>15/18</x:v>
      </x:c>
      <x:c r="B7" t="str">
        <x:v>Commercial property</x:v>
      </x:c>
      <x:c r="C7" t="str">
        <x:v>PASS WITH VOLATILITY</x:v>
      </x:c>
      <x:c r="D7" t="str">
        <x:v>Asking rents/listings are point-in-time; rates/service charges unresolved for several candidates.</x:v>
      </x:c>
      <x:c r="E7" t="str">
        <x:v>Recheck final shortlist immediately before recommendation.</x:v>
      </x:c>
      <x:c r="F7" t="str">
        <x:v>High</x:v>
      </x:c>
    </x:row>
    <x:row r="8">
      <x:c r="A8" t="str">
        <x:v>16</x:v>
      </x:c>
      <x:c r="B8" t="str">
        <x:v>Business rates</x:v>
      </x:c>
      <x:c r="C8" t="str">
        <x:v>FAIL / OUTDATED</x:v>
      </x:c>
      <x:c r="D8" t="str">
        <x:v>England workbook used obsolete temporary RHL-relief logic; Scotland 2026/27 rates/relief were also wrong.</x:v>
      </x:c>
      <x:c r="E8" t="str">
        <x:v>Rebuild Step 16 using current official rules.</x:v>
      </x:c>
      <x:c r="F8" t="str">
        <x:v>CRITICAL</x:v>
      </x:c>
    </x:row>
    <x:row r="9">
      <x:c r="A9" t="str">
        <x:v>17/20</x:v>
      </x:c>
      <x:c r="B9" t="str">
        <x:v>Labour statutory inputs</x:v>
      </x:c>
      <x:c r="C9" t="str">
        <x:v>MINOR CORRECTION</x:v>
      </x:c>
      <x:c r="D9" t="str">
        <x:v>NLW £12.71 and employer NI 15% correct; NI secondary threshold is £5,000, not £4,992. Pension assumptions broadly correct.</x:v>
      </x:c>
      <x:c r="E9" t="str">
        <x:v>Correct threshold and downstream labour formulas.</x:v>
      </x:c>
      <x:c r="F9" t="str">
        <x:v>High</x:v>
      </x:c>
    </x:row>
    <x:row r="10">
      <x:c r="A10" t="str">
        <x:v>19</x:v>
      </x:c>
      <x:c r="B10" t="str">
        <x:v>Competitor pricing</x:v>
      </x:c>
      <x:c r="C10" t="str">
        <x:v>REVERIFY</x:v>
      </x:c>
      <x:c r="D10" t="str">
        <x:v>Exact price observations need stronger dated provenance and prices can change quickly.</x:v>
      </x:c>
      <x:c r="E10" t="str">
        <x:v>Recheck menus or retain only as indicative corridor.</x:v>
      </x:c>
      <x:c r="F10" t="str">
        <x:v>High</x:v>
      </x:c>
    </x:row>
    <x:row r="11">
      <x:c r="A11" t="str">
        <x:v>21</x:v>
      </x:c>
      <x:c r="B11" t="str">
        <x:v>Revenue model</x:v>
      </x:c>
      <x:c r="C11" t="str">
        <x:v>MODEL ISSUE</x:v>
      </x:c>
      <x:c r="D11" t="str">
        <x:v>VAT-inclusive consumer/till sales are used as revenue.</x:v>
      </x:c>
      <x:c r="E11" t="str">
        <x:v>Create explicit gross-sales → VAT → net-revenue bridge.</x:v>
      </x:c>
      <x:c r="F11" t="str">
        <x:v>CRITICAL</x:v>
      </x:c>
    </x:row>
    <x:row r="12">
      <x:c r="A12" t="str">
        <x:v>22</x:v>
      </x:c>
      <x:c r="B12" t="str">
        <x:v>Store P&amp;L</x:v>
      </x:c>
      <x:c r="C12" t="str">
        <x:v>FAIL / REBUILD</x:v>
      </x:c>
      <x:c r="D12" t="str">
        <x:v>Propagates VAT inconsistency; filename should be canonical store_pnl.xlsx.</x:v>
      </x:c>
      <x:c r="E12" t="str">
        <x:v>Rebuild after VAT/rates/labour fixes.</x:v>
      </x:c>
      <x:c r="F12" t="str">
        <x:v>CRITICAL</x:v>
      </x:c>
    </x:row>
    <x:row r="13">
      <x:c r="A13" t="str">
        <x:v>23</x:v>
      </x:c>
      <x:c r="B13" t="str">
        <x:v>Investment case</x:v>
      </x:c>
      <x:c r="C13" t="str">
        <x:v>FAIL / REBUILD</x:v>
      </x:c>
      <x:c r="D13" t="str">
        <x:v>Returns inherit Step-22 issue; Year-1 contribution×ramp proxy is too optimistic.</x:v>
      </x:c>
      <x:c r="E13" t="str">
        <x:v>Update from corrected P&amp;L and proper Year-1 fixed/variable treatment.</x:v>
      </x:c>
      <x:c r="F13" t="str">
        <x:v>CRITICAL</x:v>
      </x:c>
    </x:row>
    <x:row r="14">
      <x:c r="A14" t="str">
        <x:v>24</x:v>
      </x:c>
      <x:c r="B14" t="str">
        <x:v>Scenario analysis</x:v>
      </x:c>
      <x:c r="C14" t="str">
        <x:v>REBUILD BEFORE FINAL</x:v>
      </x:c>
      <x:c r="D14" t="str">
        <x:v>Gross-revenue basis persists and labour uses simplified 18% on-cost.</x:v>
      </x:c>
      <x:c r="E14" t="str">
        <x:v>Reconcile to corrected unit model.</x:v>
      </x:c>
      <x:c r="F14" t="str">
        <x:v>CRITICAL</x:v>
      </x:c>
    </x:row>
    <x:row r="15">
      <x:c r="A15" t="str">
        <x:v>25</x:v>
      </x:c>
      <x:c r="B15" t="str">
        <x:v>City ranking</x:v>
      </x:c>
      <x:c r="C15" t="str">
        <x:v>PASS WITH BUG/GAP</x:v>
      </x:c>
      <x:c r="D15" t="str">
        <x:v>Edinburgh economics blank needs explicit resolution; Manchester economics incomplete.</x:v>
      </x:c>
      <x:c r="E15" t="str">
        <x:v>Fix Edinburgh logic and rerun after Manchester gate.</x:v>
      </x:c>
      <x:c r="F15" t="str">
        <x:v>High</x:v>
      </x:c>
    </x:row>
    <x:row r="16">
      <x:c r="A16" t="str">
        <x:v>26</x:v>
      </x:c>
      <x:c r="B16" t="str">
        <x:v>Sensitivity</x:v>
      </x:c>
      <x:c r="C16" t="str">
        <x:v>PASS WITH LIMITATION</x:v>
      </x:c>
      <x:c r="D16" t="str">
        <x:v>Ranking sensitivity useful; financial sensitivity inherits provisional unit economics.</x:v>
      </x:c>
      <x:c r="E16" t="str">
        <x:v>Refresh after corrected P&amp;L.</x:v>
      </x:c>
      <x:c r="F16" t="str">
        <x:v>High</x:v>
      </x:c>
    </x:row>
    <x:row r="17">
      <x:c r="A17" t="str">
        <x:v>27-30</x:v>
      </x:c>
      <x:c r="B17" t="str">
        <x:v>Strategy / rollout / KPI gates</x:v>
      </x:c>
      <x:c r="C17" t="str">
        <x:v>PASS AS ASSUMPTIONS</x:v>
      </x:c>
      <x:c r="D17" t="str">
        <x:v>Decision logic is useful but final thresholds depend on corrected economics.</x:v>
      </x:c>
      <x:c r="E17" t="str">
        <x:v>Keep labelled as management assumptions.</x:v>
      </x:c>
      <x:c r="F17" t="str">
        <x:v>Medium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23" hidden="0" customWidth="1"/>
    <x:col min="4" max="4" width="54" hidden="0" customWidth="1"/>
  </x:cols>
  <x:sheetData>
    <x:row r="1" ht="27" customHeight="1">
      <x:c r="A1" s="3" t="str">
        <x:v>City</x:v>
      </x:c>
      <x:c r="B1" s="3" t="str">
        <x:v>Original score</x:v>
      </x:c>
      <x:c r="C1" s="3" t="str">
        <x:v>Deck rounded score</x:v>
      </x:c>
      <x:c r="D1" s="3" t="str">
        <x:v>Evidence status</x:v>
      </x:c>
    </x:row>
    <x:row r="2">
      <x:c r="A2" t="str">
        <x:v>Bristol</x:v>
      </x:c>
      <x:c r="B2" t="n">
        <x:v>69.47250481393975</x:v>
      </x:c>
      <x:c r="C2" t="n">
        <x:v>69.5</x:v>
      </x:c>
      <x:c r="D2" t="str">
        <x:v>Provisional rank among screenable cities</x:v>
      </x:c>
    </x:row>
    <x:row r="3">
      <x:c r="A3" t="str">
        <x:v>Birmingham</x:v>
      </x:c>
      <x:c r="B3" t="n">
        <x:v>46.88605</x:v>
      </x:c>
      <x:c r="C3" t="n">
        <x:v>46.9</x:v>
      </x:c>
      <x:c r="D3" t="str">
        <x:v>Provisional rank among screenable cities</x:v>
      </x:c>
    </x:row>
    <x:row r="4">
      <x:c r="A4" t="str">
        <x:v>Leeds</x:v>
      </x:c>
      <x:c r="B4" t="n">
        <x:v>36.30810837271116</x:v>
      </x:c>
      <x:c r="C4" t="n">
        <x:v>36.3</x:v>
      </x:c>
      <x:c r="D4" t="str">
        <x:v>Provisional rank among screenable cities</x:v>
      </x:c>
    </x:row>
    <x:row r="5">
      <x:c r="A5" t="str">
        <x:v>Edinburgh</x:v>
      </x:c>
      <x:c r="B5" t="n">
        <x:v>33.88505</x:v>
      </x:c>
      <x:c r="C5" t="n">
        <x:v>33.9</x:v>
      </x:c>
      <x:c r="D5" t="str">
        <x:v>Provisional rank among screenable cities</x:v>
      </x:c>
    </x:row>
    <x:row r="6">
      <x:c r="A6" t="str">
        <x:v>Manchester</x:v>
      </x:c>
      <x:c r="B6"/>
      <x:c r="C6"/>
      <x:c r="D6" t="str">
        <x:v>Unranked pending decision-grade economics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6" hidden="0" customWidth="1"/>
    <x:col min="3" max="3" width="35" hidden="0" customWidth="1"/>
    <x:col min="4" max="4" width="20" hidden="0" customWidth="1"/>
    <x:col min="5" max="5" width="18" hidden="0" customWidth="1"/>
    <x:col min="6" max="6" width="65" hidden="0" customWidth="1"/>
  </x:cols>
  <x:sheetData>
    <x:row r="1" ht="27" customHeight="1">
      <x:c r="A1" s="3" t="str">
        <x:v>stage</x:v>
      </x:c>
      <x:c r="B1" s="3" t="str">
        <x:v>canonical_file</x:v>
      </x:c>
      <x:c r="C1" s="3" t="str">
        <x:v>role</x:v>
      </x:c>
      <x:c r="D1" s="3" t="str">
        <x:v>freeze_status</x:v>
      </x:c>
      <x:c r="E1" s="3" t="str">
        <x:v>authoritative?</x:v>
      </x:c>
      <x:c r="F1" s="3" t="str">
        <x:v>notes</x:v>
      </x:c>
    </x:row>
    <x:row r="2">
      <x:c r="A2" t="str">
        <x:v>01</x:v>
      </x:c>
      <x:c r="B2" t="str">
        <x:v>geography_lookup.xlsx</x:v>
      </x:c>
      <x:c r="C2" t="str">
        <x:v>Screening geography</x:v>
      </x:c>
      <x:c r="D2" t="str">
        <x:v>FROZEN</x:v>
      </x:c>
      <x:c r="E2" t="str">
        <x:v>YES</x:v>
      </x:c>
      <x:c r="F2" t="str">
        <x:v>Local-authority/council-area basis.</x:v>
      </x:c>
    </x:row>
    <x:row r="3">
      <x:c r="A3" t="str">
        <x:v>02</x:v>
      </x:c>
      <x:c r="B3" t="str">
        <x:v>population.xlsx</x:v>
      </x:c>
      <x:c r="C3" t="str">
        <x:v>Population and growth</x:v>
      </x:c>
      <x:c r="D3" t="str">
        <x:v>FROZEN</x:v>
      </x:c>
      <x:c r="E3" t="str">
        <x:v>YES</x:v>
      </x:c>
      <x:c r="F3" t="str">
        <x:v>Use canonical file only.</x:v>
      </x:c>
    </x:row>
    <x:row r="4">
      <x:c r="A4" t="str">
        <x:v>03</x:v>
      </x:c>
      <x:c r="B4" t="str">
        <x:v>age_profile.xlsx</x:v>
      </x:c>
      <x:c r="C4" t="str">
        <x:v>Age structure</x:v>
      </x:c>
      <x:c r="D4" t="str">
        <x:v>FROZEN</x:v>
      </x:c>
      <x:c r="E4" t="str">
        <x:v>YES</x:v>
      </x:c>
      <x:c r="F4" t="str">
        <x:v>Ignore duplicate/completed variants.</x:v>
      </x:c>
    </x:row>
    <x:row r="5">
      <x:c r="A5" t="str">
        <x:v>04</x:v>
      </x:c>
      <x:c r="B5" t="str">
        <x:v>earnings.xlsx</x:v>
      </x:c>
      <x:c r="C5" t="str">
        <x:v>Earnings</x:v>
      </x:c>
      <x:c r="D5" t="str">
        <x:v>FROZEN</x:v>
      </x:c>
      <x:c r="E5" t="str">
        <x:v>YES</x:v>
      </x:c>
      <x:c r="F5" t="str">
        <x:v>ASHE residence-based.</x:v>
      </x:c>
    </x:row>
    <x:row r="6">
      <x:c r="A6" t="str">
        <x:v>05</x:v>
      </x:c>
      <x:c r="B6" t="str">
        <x:v>qualifications.xlsx</x:v>
      </x:c>
      <x:c r="C6" t="str">
        <x:v>Qualifications</x:v>
      </x:c>
      <x:c r="D6" t="str">
        <x:v>FROZEN</x:v>
      </x:c>
      <x:c r="E6" t="str">
        <x:v>YES</x:v>
      </x:c>
      <x:c r="F6" t="str">
        <x:v>RQF4+.</x:v>
      </x:c>
    </x:row>
    <x:row r="7">
      <x:c r="A7" t="str">
        <x:v>06</x:v>
      </x:c>
      <x:c r="B7" t="str">
        <x:v>employment_profile.xlsx</x:v>
      </x:c>
      <x:c r="C7" t="str">
        <x:v>Employment / occupation</x:v>
      </x:c>
      <x:c r="D7" t="str">
        <x:v>FROZEN</x:v>
      </x:c>
      <x:c r="E7" t="str">
        <x:v>YES</x:v>
      </x:c>
      <x:c r="F7" t="str">
        <x:v>Manchester employment rate suppression retained.</x:v>
      </x:c>
    </x:row>
    <x:row r="8">
      <x:c r="A8" t="str">
        <x:v>07</x:v>
      </x:c>
      <x:c r="B8" t="str">
        <x:v>students.xlsx</x:v>
      </x:c>
      <x:c r="C8" t="str">
        <x:v>Student proxy</x:v>
      </x:c>
      <x:c r="D8" t="str">
        <x:v>FROZEN</x:v>
      </x:c>
      <x:c r="E8" t="str">
        <x:v>YES</x:v>
      </x:c>
      <x:c r="F8" t="str">
        <x:v>Provider-based proxy caveats retained.</x:v>
      </x:c>
    </x:row>
    <x:row r="9">
      <x:c r="A9" t="str">
        <x:v>08</x:v>
      </x:c>
      <x:c r="B9" t="str">
        <x:v>city_customer_attractiveness.xlsx</x:v>
      </x:c>
      <x:c r="C9" t="str">
        <x:v>Demand dataset</x:v>
      </x:c>
      <x:c r="D9" t="str">
        <x:v>FROZEN</x:v>
      </x:c>
      <x:c r="E9" t="str">
        <x:v>YES</x:v>
      </x:c>
      <x:c r="F9" t="str">
        <x:v>Supporting composite dataset.</x:v>
      </x:c>
    </x:row>
    <x:row r="10">
      <x:c r="A10" t="str">
        <x:v>09</x:v>
      </x:c>
      <x:c r="B10" t="str">
        <x:v>coffee_supply.xlsx</x:v>
      </x:c>
      <x:c r="C10" t="str">
        <x:v>Broad café supply proxy</x:v>
      </x:c>
      <x:c r="D10" t="str">
        <x:v>FROZEN</x:v>
      </x:c>
      <x:c r="E10" t="str">
        <x:v>YES</x:v>
      </x:c>
      <x:c r="F10" t="str">
        <x:v>SIC 56102 proxy.</x:v>
      </x:c>
    </x:row>
    <x:row r="11">
      <x:c r="A11" t="str">
        <x:v>10</x:v>
      </x:c>
      <x:c r="B11" t="str">
        <x:v>chain_mapping.xlsx</x:v>
      </x:c>
      <x:c r="C11" t="str">
        <x:v>Major-chain intensity</x:v>
      </x:c>
      <x:c r="D11" t="str">
        <x:v>FROZEN</x:v>
      </x:c>
      <x:c r="E11" t="str">
        <x:v>YES</x:v>
      </x:c>
      <x:c r="F11" t="str">
        <x:v>Corrected October 2026 snapshot.</x:v>
      </x:c>
    </x:row>
    <x:row r="12">
      <x:c r="A12" t="str">
        <x:v>11</x:v>
      </x:c>
      <x:c r="B12" t="str">
        <x:v>premium_competition.xlsx</x:v>
      </x:c>
      <x:c r="C12" t="str">
        <x:v>Premium competition proxy</x:v>
      </x:c>
      <x:c r="D12" t="str">
        <x:v>FROZEN</x:v>
      </x:c>
      <x:c r="E12" t="str">
        <x:v>YES</x:v>
      </x:c>
      <x:c r="F12" t="str">
        <x:v>Curated proxy.</x:v>
      </x:c>
    </x:row>
    <x:row r="13">
      <x:c r="A13" t="str">
        <x:v>12</x:v>
      </x:c>
      <x:c r="B13" t="str">
        <x:v>competition_metrics.xlsx</x:v>
      </x:c>
      <x:c r="C13" t="str">
        <x:v>Competition metrics</x:v>
      </x:c>
      <x:c r="D13" t="str">
        <x:v>FROZEN</x:v>
      </x:c>
      <x:c r="E13" t="str">
        <x:v>YES</x:v>
      </x:c>
      <x:c r="F13" t="str">
        <x:v>Do not sum overlays.</x:v>
      </x:c>
    </x:row>
    <x:row r="14">
      <x:c r="A14" t="str">
        <x:v>13</x:v>
      </x:c>
      <x:c r="B14" t="str">
        <x:v>market_trends.xlsx</x:v>
      </x:c>
      <x:c r="C14" t="str">
        <x:v>National market context</x:v>
      </x:c>
      <x:c r="D14" t="str">
        <x:v>FROZEN</x:v>
      </x:c>
      <x:c r="E14" t="str">
        <x:v>YES</x:v>
      </x:c>
      <x:c r="F14" t="str">
        <x:v>Context, not city score.</x:v>
      </x:c>
    </x:row>
    <x:row r="15">
      <x:c r="A15" t="str">
        <x:v>14</x:v>
      </x:c>
      <x:c r="B15" t="str">
        <x:v>neighbourhood_longlist.xlsx</x:v>
      </x:c>
      <x:c r="C15" t="str">
        <x:v>Neighbourhood screen</x:v>
      </x:c>
      <x:c r="D15" t="str">
        <x:v>FROZEN</x:v>
      </x:c>
      <x:c r="E15" t="str">
        <x:v>YES</x:v>
      </x:c>
      <x:c r="F15" t="str">
        <x:v>Qualitative shortlist.</x:v>
      </x:c>
    </x:row>
    <x:row r="16">
      <x:c r="A16" t="str">
        <x:v>15</x:v>
      </x:c>
      <x:c r="B16" t="str">
        <x:v>commercial_rents.xlsx</x:v>
      </x:c>
      <x:c r="C16" t="str">
        <x:v>Rent evidence</x:v>
      </x:c>
      <x:c r="D16" t="str">
        <x:v>FROZEN FOR CASE</x:v>
      </x:c>
      <x:c r="E16" t="str">
        <x:v>YES</x:v>
      </x:c>
      <x:c r="F16" t="str">
        <x:v>Time-sensitive; refresh only if case is updated.</x:v>
      </x:c>
    </x:row>
    <x:row r="17">
      <x:c r="A17" t="str">
        <x:v>16</x:v>
      </x:c>
      <x:c r="B17" t="str">
        <x:v>business_rates.xlsx</x:v>
      </x:c>
      <x:c r="C17" t="str">
        <x:v>2026/27 rates framework</x:v>
      </x:c>
      <x:c r="D17" t="str">
        <x:v>FROZEN</x:v>
      </x:c>
      <x:c r="E17" t="str">
        <x:v>YES</x:v>
      </x:c>
      <x:c r="F17" t="str">
        <x:v>Corrected statutory framework.</x:v>
      </x:c>
    </x:row>
    <x:row r="18">
      <x:c r="A18" t="str">
        <x:v>17</x:v>
      </x:c>
      <x:c r="B18" t="str">
        <x:v>labour_costs.xlsx</x:v>
      </x:c>
      <x:c r="C18" t="str">
        <x:v>Labour model</x:v>
      </x:c>
      <x:c r="D18" t="str">
        <x:v>FROZEN</x:v>
      </x:c>
      <x:c r="E18" t="str">
        <x:v>YES</x:v>
      </x:c>
      <x:c r="F18" t="str">
        <x:v>Corrected £5,000 NI threshold.</x:v>
      </x:c>
    </x:row>
    <x:row r="19">
      <x:c r="A19" t="str">
        <x:v>18</x:v>
      </x:c>
      <x:c r="B19" t="str">
        <x:v>candidate_properties.xlsx</x:v>
      </x:c>
      <x:c r="C19" t="str">
        <x:v>Property evidence</x:v>
      </x:c>
      <x:c r="D19" t="str">
        <x:v>FROZEN FOR CASE</x:v>
      </x:c>
      <x:c r="E19" t="str">
        <x:v>YES</x:v>
      </x:c>
      <x:c r="F19" t="str">
        <x:v>Snapshot evidence; live market can change.</x:v>
      </x:c>
    </x:row>
    <x:row r="20">
      <x:c r="A20" t="str">
        <x:v>19</x:v>
      </x:c>
      <x:c r="B20" t="str">
        <x:v>competitor_pricing.xlsx</x:v>
      </x:c>
      <x:c r="C20" t="str">
        <x:v>Pricing benchmark</x:v>
      </x:c>
      <x:c r="D20" t="str">
        <x:v>FROZEN FOR CASE</x:v>
      </x:c>
      <x:c r="E20" t="str">
        <x:v>YES</x:v>
      </x:c>
      <x:c r="F20" t="str">
        <x:v>Reverified; time-sensitive.</x:v>
      </x:c>
    </x:row>
    <x:row r="21">
      <x:c r="A21" t="str">
        <x:v>20</x:v>
      </x:c>
      <x:c r="B21" t="str">
        <x:v>operating_assumptions.xlsx</x:v>
      </x:c>
      <x:c r="C21" t="str">
        <x:v>Operating assumptions</x:v>
      </x:c>
      <x:c r="D21" t="str">
        <x:v>FROZEN WITH CAVEAT</x:v>
      </x:c>
      <x:c r="E21" t="str">
        <x:v>YES</x:v>
      </x:c>
      <x:c r="F21" t="str">
        <x:v>Where NI detail conflicts, labour_costs.xlsx is authoritative.</x:v>
      </x:c>
    </x:row>
    <x:row r="22">
      <x:c r="A22" t="str">
        <x:v>21</x:v>
      </x:c>
      <x:c r="B22" t="str">
        <x:v>revenue_assumptions.xlsx</x:v>
      </x:c>
      <x:c r="C22" t="str">
        <x:v>Revenue assumptions</x:v>
      </x:c>
      <x:c r="D22" t="str">
        <x:v>FROZEN WITH CAVEAT</x:v>
      </x:c>
      <x:c r="E22" t="str">
        <x:v>YES</x:v>
      </x:c>
      <x:c r="F22" t="str">
        <x:v>Gross till assumptions retained; store_pnl.xlsx is authoritative for VAT-consistent P&amp;L.</x:v>
      </x:c>
    </x:row>
    <x:row r="23">
      <x:c r="A23" t="str">
        <x:v>22</x:v>
      </x:c>
      <x:c r="B23" t="str">
        <x:v>store_pnl.xlsx</x:v>
      </x:c>
      <x:c r="C23" t="str">
        <x:v>Store P&amp;L</x:v>
      </x:c>
      <x:c r="D23" t="str">
        <x:v>FROZEN</x:v>
      </x:c>
      <x:c r="E23" t="str">
        <x:v>YES</x:v>
      </x:c>
      <x:c r="F23" t="str">
        <x:v>Canonical singular filename; corrected VAT/labour model.</x:v>
      </x:c>
    </x:row>
    <x:row r="24">
      <x:c r="A24" t="str">
        <x:v>23</x:v>
      </x:c>
      <x:c r="B24" t="str">
        <x:v>investment_case.xlsx</x:v>
      </x:c>
      <x:c r="C24" t="str">
        <x:v>Investment returns</x:v>
      </x:c>
      <x:c r="D24" t="str">
        <x:v>FROZEN</x:v>
      </x:c>
      <x:c r="E24" t="str">
        <x:v>YES</x:v>
      </x:c>
      <x:c r="F24" t="str">
        <x:v>Corrected returns; incomplete property cases flagged.</x:v>
      </x:c>
    </x:row>
    <x:row r="25">
      <x:c r="A25" t="str">
        <x:v>24</x:v>
      </x:c>
      <x:c r="B25" t="str">
        <x:v>scenario_analysis.xlsx</x:v>
      </x:c>
      <x:c r="C25" t="str">
        <x:v>Financial scenarios</x:v>
      </x:c>
      <x:c r="D25" t="str">
        <x:v>FROZEN</x:v>
      </x:c>
      <x:c r="E25" t="str">
        <x:v>YES</x:v>
      </x:c>
      <x:c r="F25" t="str">
        <x:v>Corrected VAT-consistent scenarios.</x:v>
      </x:c>
    </x:row>
    <x:row r="26">
      <x:c r="A26" t="str">
        <x:v>25</x:v>
      </x:c>
      <x:c r="B26" t="str">
        <x:v>city_ranking.xlsx</x:v>
      </x:c>
      <x:c r="C26" t="str">
        <x:v>City ranking</x:v>
      </x:c>
      <x:c r="D26" t="str">
        <x:v>FROZEN</x:v>
      </x:c>
      <x:c r="E26" t="str">
        <x:v>YES</x:v>
      </x:c>
      <x:c r="F26" t="str">
        <x:v>Repaired Edinburgh; Manchester unranked.</x:v>
      </x:c>
    </x:row>
    <x:row r="27">
      <x:c r="A27" t="str">
        <x:v>26</x:v>
      </x:c>
      <x:c r="B27" t="str">
        <x:v>sensitivity_analysis.xlsx</x:v>
      </x:c>
      <x:c r="C27" t="str">
        <x:v>Ranking + financial sensitivity</x:v>
      </x:c>
      <x:c r="D27" t="str">
        <x:v>FROZEN</x:v>
      </x:c>
      <x:c r="E27" t="str">
        <x:v>YES</x:v>
      </x:c>
      <x:c r="F27" t="str">
        <x:v>Corrected final sensitivity.</x:v>
      </x:c>
    </x:row>
    <x:row r="28">
      <x:c r="A28" t="str">
        <x:v>27</x:v>
      </x:c>
      <x:c r="B28" t="str">
        <x:v>winner_deep_dive.xlsx</x:v>
      </x:c>
      <x:c r="C28" t="str">
        <x:v>Bristol / Manchester deep dive</x:v>
      </x:c>
      <x:c r="D28" t="str">
        <x:v>REFERENCE ONLY</x:v>
      </x:c>
      <x:c r="E28" t="str">
        <x:v>NO</x:v>
      </x:c>
      <x:c r="F28" t="str">
        <x:v>Strategic evidence useful, but embedded old financial calculations are superseded.</x:v>
      </x:c>
    </x:row>
    <x:row r="29">
      <x:c r="A29" t="str">
        <x:v>28</x:v>
      </x:c>
      <x:c r="B29" t="str">
        <x:v>entry_strategy.xlsx</x:v>
      </x:c>
      <x:c r="C29" t="str">
        <x:v>Entry format / sites</x:v>
      </x:c>
      <x:c r="D29" t="str">
        <x:v>FROZEN WITH CAVEAT</x:v>
      </x:c>
      <x:c r="E29" t="str">
        <x:v>YES</x:v>
      </x:c>
      <x:c r="F29" t="str">
        <x:v>Use strategic recommendations; corrected financial model takes precedence.</x:v>
      </x:c>
    </x:row>
    <x:row r="30">
      <x:c r="A30" t="str">
        <x:v>29</x:v>
      </x:c>
      <x:c r="B30" t="str">
        <x:v>rollout_plan.xlsx</x:v>
      </x:c>
      <x:c r="C30" t="str">
        <x:v>Rollout strategy</x:v>
      </x:c>
      <x:c r="D30" t="str">
        <x:v>FROZEN</x:v>
      </x:c>
      <x:c r="E30" t="str">
        <x:v>YES</x:v>
      </x:c>
      <x:c r="F30" t="str">
        <x:v>1+1+1 staged rollout.</x:v>
      </x:c>
    </x:row>
    <x:row r="31">
      <x:c r="A31" t="str">
        <x:v>30</x:v>
      </x:c>
      <x:c r="B31" t="str">
        <x:v>kpi_gates.xlsx</x:v>
      </x:c>
      <x:c r="C31" t="str">
        <x:v>KPI / decision gates</x:v>
      </x:c>
      <x:c r="D31" t="str">
        <x:v>FROZEN</x:v>
      </x:c>
      <x:c r="E31" t="str">
        <x:v>YES</x:v>
      </x:c>
      <x:c r="F31" t="str">
        <x:v>Management assumptions, not historical benchmarks.</x:v>
      </x:c>
    </x:row>
    <x:row r="32">
      <x:c r="A32" t="str">
        <x:v>31</x:v>
      </x:c>
      <x:c r="B32" t="str">
        <x:v>source_audit.xlsx</x:v>
      </x:c>
      <x:c r="C32" t="str">
        <x:v>Source QA</x:v>
      </x:c>
      <x:c r="D32" t="str">
        <x:v>FROZEN</x:v>
      </x:c>
      <x:c r="E32" t="str">
        <x:v>YES</x:v>
      </x:c>
      <x:c r="F32" t="str">
        <x:v>Audit record; remediation subsequently completed.</x:v>
      </x:c>
    </x:row>
    <x:row r="33">
      <x:c r="A33" t="str">
        <x:v>32</x:v>
      </x:c>
      <x:c r="B33" t="str">
        <x:v>evidence_classification.xlsx</x:v>
      </x:c>
      <x:c r="C33" t="str">
        <x:v>Evidence taxonomy</x:v>
      </x:c>
      <x:c r="D33" t="str">
        <x:v>FROZEN</x:v>
      </x:c>
      <x:c r="E33" t="str">
        <x:v>YES</x:v>
      </x:c>
      <x:c r="F33" t="str">
        <x:v>Final provenance classification.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3" hidden="0" customWidth="1"/>
    <x:col min="3" max="3" width="25" hidden="0" customWidth="1"/>
    <x:col min="4" max="4" width="31" hidden="0" customWidth="1"/>
  </x:cols>
  <x:sheetData>
    <x:row r="1" ht="27" customHeight="1">
      <x:c r="A1" s="3" t="str">
        <x:v>Check</x:v>
      </x:c>
      <x:c r="B1" s="3" t="str">
        <x:v>Expected</x:v>
      </x:c>
      <x:c r="C1" s="3" t="str">
        <x:v>Actual / calculation</x:v>
      </x:c>
      <x:c r="D1" s="3" t="str">
        <x:v>Result</x:v>
      </x:c>
    </x:row>
    <x:row r="2">
      <x:c r="A2" t="str">
        <x:v>Bristol ranking</x:v>
      </x:c>
      <x:c r="B2" t="n">
        <x:v>69.47250481393975</x:v>
      </x:c>
      <x:c r="C2" t="n">
        <x:f>'01_Ranking'!H5</x:f>
        <x:v>69.47250481393975</x:v>
      </x:c>
      <x:c r="D2" t="str">
        <x:f>IF(ABS(B2-C2)&lt;0.01,"PASS","CHECK")</x:f>
        <x:v>PASS</x:v>
      </x:c>
    </x:row>
    <x:row r="3">
      <x:c r="A3" t="str">
        <x:v>Birmingham ranking</x:v>
      </x:c>
      <x:c r="B3" t="n">
        <x:v>46.88605</x:v>
      </x:c>
      <x:c r="C3" t="n">
        <x:f>'01_Ranking'!H3</x:f>
        <x:v>46.88605</x:v>
      </x:c>
      <x:c r="D3" t="str">
        <x:f>IF(ABS(B3-C3)&lt;0.01,"PASS","CHECK")</x:f>
        <x:v>PASS</x:v>
      </x:c>
    </x:row>
    <x:row r="4">
      <x:c r="A4" t="str">
        <x:v>Leeds ranking</x:v>
      </x:c>
      <x:c r="B4" t="n">
        <x:v>36.30810837271116</x:v>
      </x:c>
      <x:c r="C4" t="n">
        <x:f>'01_Ranking'!H4</x:f>
        <x:v>36.30810837271116</x:v>
      </x:c>
      <x:c r="D4" t="str">
        <x:f>IF(ABS(B4-C4)&lt;0.01,"PASS","CHECK")</x:f>
        <x:v>PASS</x:v>
      </x:c>
    </x:row>
    <x:row r="5">
      <x:c r="A5" t="str">
        <x:v>Edinburgh ranking</x:v>
      </x:c>
      <x:c r="B5" t="n">
        <x:v>33.88505</x:v>
      </x:c>
      <x:c r="C5" t="n">
        <x:f>'01_Ranking'!H6</x:f>
        <x:v>33.88505</x:v>
      </x:c>
      <x:c r="D5" t="str">
        <x:f>IF(ABS(B5-C5)&lt;0.01,"PASS","CHECK")</x:f>
        <x:v>PASS</x:v>
      </x:c>
    </x:row>
    <x:row r="6">
      <x:c r="A6" t="str">
        <x:v>Base gross till sales</x:v>
      </x:c>
      <x:c r="B6" t="n">
        <x:v>581040</x:v>
      </x:c>
      <x:c r="C6" t="n">
        <x:v>581040</x:v>
      </x:c>
      <x:c r="D6" t="str">
        <x:v>Original scenario workbook</x:v>
      </x:c>
    </x:row>
    <x:row r="7">
      <x:c r="A7" t="str">
        <x:v>Base net revenue</x:v>
      </x:c>
      <x:c r="B7" t="n">
        <x:v>484200</x:v>
      </x:c>
      <x:c r="C7" t="n">
        <x:v>484200</x:v>
      </x:c>
      <x:c r="D7" t="str">
        <x:v>Simplified VAT</x:v>
      </x:c>
    </x:row>
    <x:row r="8">
      <x:c r="A8" t="str">
        <x:v>Bristol mature contribution</x:v>
      </x:c>
      <x:c r="B8" t="n">
        <x:v>17383.38</x:v>
      </x:c>
      <x:c r="C8" t="n">
        <x:v>17383.38</x:v>
      </x:c>
      <x:c r="D8" t="str">
        <x:v>Partial property evidence</x:v>
      </x:c>
    </x:row>
    <x:row r="9">
      <x:c r="A9" t="str">
        <x:v>Opening cash</x:v>
      </x:c>
      <x:c r="B9" t="n">
        <x:v>304000</x:v>
      </x:c>
      <x:c r="C9" t="n">
        <x:f>'05_Investment'!C10</x:f>
        <x:v>304000</x:v>
      </x:c>
      <x:c r="D9" t="str">
        <x:f>IF(B9=C9,"PASS","CHECK")</x:f>
        <x:v>PASS</x:v>
      </x:c>
    </x:row>
    <x:row r="10">
      <x:c r="A10" t="str">
        <x:v>Manchester economics</x:v>
      </x:c>
      <x:c r="B10"/>
      <x:c r="C10"/>
      <x:c r="D10" t="str">
        <x:v>Not imputed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67" hidden="0" customWidth="1"/>
    <x:col min="5" max="5" width="16" hidden="0" customWidth="1"/>
  </x:cols>
  <x:sheetData>
    <x:row r="1" ht="30" customHeight="1">
      <x:c r="A1" s="8" t="str">
        <x:v>CHECK</x:v>
      </x:c>
      <x:c r="B1" s="8" t="str">
        <x:v>LIVE TEST</x:v>
      </x:c>
      <x:c r="C1" s="8" t="str">
        <x:v>EXPECTED</x:v>
      </x:c>
      <x:c r="D1" s="8" t="str">
        <x:v>INTERPRETATION</x:v>
      </x:c>
      <x:c r="E1" s="8"/>
    </x:row>
    <x:row r="2">
      <x:c r="A2" t="str">
        <x:v>Revenue breakdown</x:v>
      </x:c>
      <x:c r="B2" t="n">
        <x:f>'03_Revenue'!C13+'03_Revenue'!C14+'03_Revenue'!C15-'03_Revenue'!C10</x:f>
        <x:v>1.1641532182693481e-10</x:v>
      </x:c>
      <x:c r="C2" t="n">
        <x:v>0</x:v>
      </x:c>
      <x:c r="D2" t="str">
        <x:v>Drink + food + add-ons must equal gross revenue</x:v>
      </x:c>
      <x:c r="E2" t="str">
        <x:f>IF(ABS(B2-C2)&lt;0.01,"PASS","REVIEW")</x:f>
        <x:v>PASS</x:v>
      </x:c>
    </x:row>
    <x:row r="3">
      <x:c r="A3" t="str">
        <x:v>VAT bridge</x:v>
      </x:c>
      <x:c r="B3" t="n">
        <x:f>'04_Store_PnL'!C5-'04_Store_PnL'!D5-'04_Store_PnL'!E5</x:f>
        <x:v>0</x:v>
      </x:c>
      <x:c r="C3" t="n">
        <x:v>0</x:v>
      </x:c>
      <x:c r="D3" t="str">
        <x:v>Net revenue + simplified VAT must equal gross till sales</x:v>
      </x:c>
      <x:c r="E3" t="str">
        <x:f>IF(ABS(B3-C3)&lt;0.01,"PASS","REVIEW")</x:f>
        <x:v>PASS</x:v>
      </x:c>
    </x:row>
    <x:row r="4">
      <x:c r="A4" t="str">
        <x:v>Gross profit bridge</x:v>
      </x:c>
      <x:c r="B4" t="n">
        <x:f>'04_Store_PnL'!E5-'04_Store_PnL'!F5-'04_Store_PnL'!G5</x:f>
        <x:v>0</x:v>
      </x:c>
      <x:c r="C4" t="n">
        <x:v>0</x:v>
      </x:c>
      <x:c r="D4" t="str">
        <x:v>Net revenue - COGS must equal gross profit</x:v>
      </x:c>
      <x:c r="E4" t="str">
        <x:f>IF(ABS(B4-C4)&lt;0.01,"PASS","REVIEW")</x:f>
        <x:v>PASS</x:v>
      </x:c>
    </x:row>
    <x:row r="5">
      <x:c r="A5" t="str">
        <x:v>Pre-property bridge</x:v>
      </x:c>
      <x:c r="B5" t="n">
        <x:f>'04_Store_PnL'!G5-SUM('04_Store_PnL'!H5:J5)-'04_Store_PnL'!K5</x:f>
        <x:v>0</x:v>
      </x:c>
      <x:c r="C5" t="n">
        <x:v>0</x:v>
      </x:c>
      <x:c r="D5" t="str">
        <x:v>Gross profit - operating costs must equal contribution</x:v>
      </x:c>
      <x:c r="E5" t="str">
        <x:f>IF(ABS(B5-C5)&lt;0.01,"PASS","REVIEW")</x:f>
        <x:v>PASS</x:v>
      </x:c>
    </x:row>
    <x:row r="6">
      <x:c r="A6" t="str">
        <x:v>Occupancy bridge</x:v>
      </x:c>
      <x:c r="B6" t="n">
        <x:f>'04_Store_PnL'!K5-'04_Store_PnL'!O5-'04_Store_PnL'!P5</x:f>
        <x:v>54883.37999999995</x:v>
      </x:c>
      <x:c r="C6" t="n">
        <x:v>0</x:v>
      </x:c>
      <x:c r="D6" t="str">
        <x:v>Pre-property contribution - occupancy must equal post-property</x:v>
      </x:c>
      <x:c r="E6" t="str">
        <x:f>IF(ABS(B6-C6)&lt;0.01,"PASS","REVIEW")</x:f>
        <x:v>REVIEW</x:v>
      </x:c>
    </x:row>
    <x:row r="7">
      <x:c r="A7" t="str">
        <x:v>Opening cash</x:v>
      </x:c>
      <x:c r="B7" t="n">
        <x:f>'05_Investment'!C10</x:f>
        <x:v>304000</x:v>
      </x:c>
      <x:c r="C7" t="n">
        <x:v>304000</x:v>
      </x:c>
      <x:c r="D7" t="str">
        <x:v>Base opening investment should match source case</x:v>
      </x:c>
      <x:c r="E7" t="str">
        <x:f>IF(ABS(B7-C7)&lt;0.01,"PASS","REVIEW")</x:f>
        <x:v>PASS</x:v>
      </x:c>
    </x:row>
    <x:row r="8">
      <x:c r="A8" t="str">
        <x:v>Base sales</x:v>
      </x:c>
      <x:c r="B8" t="n">
        <x:f>'03_Revenue'!C10</x:f>
        <x:v>581039.9999999999</x:v>
      </x:c>
      <x:c r="C8" t="n">
        <x:v>581040</x:v>
      </x:c>
      <x:c r="D8" t="str">
        <x:v>Base case unchanged at 300 transactions/day</x:v>
      </x:c>
      <x:c r="E8" t="str">
        <x:f>IF(ABS(B8-C8)&lt;0.01,"PASS","REVIEW")</x:f>
        <x:v>PASS</x:v>
      </x:c>
    </x:row>
    <x:row r="9">
      <x:c r="A9" t="str">
        <x:v>Sensitivity weight totals</x:v>
      </x:c>
      <x:c r="B9" t="n">
        <x:f>SUM(ABS(SUM('02_Sensitivity'!B2:D2)-1),ABS(SUM('02_Sensitivity'!B3:D3)-1),ABS(SUM('02_Sensitivity'!B4:D4)-1),ABS(SUM('02_Sensitivity'!B5:D5)-1),ABS(SUM('02_Sensitivity'!B6:D6)-1),ABS(SUM('02_Sensitivity'!B7:D7)-1))</x:f>
        <x:v>0</x:v>
      </x:c>
      <x:c r="C9" t="n">
        <x:v>0</x:v>
      </x:c>
      <x:c r="D9" t="str">
        <x:v>Six sets of weights must each sum to 100%</x:v>
      </x:c>
      <x:c r="E9" t="str">
        <x:f>IF(ABS(B9-C9)&lt;0.01,"PASS","REVIEW")</x:f>
        <x:v>PASS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05" hidden="0" customWidth="1"/>
  </x:cols>
  <x:sheetData>
    <x:row r="1">
      <x:c r="A1" s="15" t="str">
        <x:v>PUBLICATION CHECK</x:v>
      </x:c>
      <x:c r="B1" s="15" t="str">
        <x:v>RESULT</x:v>
      </x:c>
      <x:c r="C1" s="15" t="str">
        <x:v>EVIDENCE / NEXT ACTION</x:v>
      </x:c>
    </x:row>
    <x:row r="2">
      <x:c r="A2" t="str">
        <x:v>Formula errors</x:v>
      </x:c>
      <x:c r="B2" t="str">
        <x:v>PASS</x:v>
      </x:c>
      <x:c r="C2" t="str">
        <x:v>Workbook-wide error scan found no #REF!, #DIV/0!, #VALUE!, #NAME? or #N/A.</x:v>
      </x:c>
    </x:row>
    <x:row r="3">
      <x:c r="A3" t="str">
        <x:v>Live input propagation</x:v>
      </x:c>
      <x:c r="B3" t="str">
        <x:v>PASS</x:v>
      </x:c>
      <x:c r="C3" t="str">
        <x:v>Base transactions/day 300→330: gross sales £581,040→£639,144; net £484,200→£532,620; restored baseline.</x:v>
      </x:c>
    </x:row>
    <x:row r="4">
      <x:c r="A4" t="str">
        <x:v>Base QA checks</x:v>
      </x:c>
      <x:c r="B4" t="str">
        <x:v>PASS</x:v>
      </x:c>
      <x:c r="C4" t="str">
        <x:v>Eight checks in 10_Formula_QA return PASS.</x:v>
      </x:c>
    </x:row>
    <x:row r="5">
      <x:c r="A5" t="str">
        <x:v>Sensitivity scenarios</x:v>
      </x:c>
      <x:c r="B5" t="str">
        <x:v>PASS</x:v>
      </x:c>
      <x:c r="C5" t="str">
        <x:v>Bristol wins 6/6; Edinburgh zero economics included; Manchester unranked.</x:v>
      </x:c>
    </x:row>
    <x:row r="6">
      <x:c r="A6" t="str">
        <x:v>Business rates</x:v>
      </x:c>
      <x:c r="B6" t="str">
        <x:v>FRAMEWORK UPDATED / SITE BLOCKER</x:v>
      </x:c>
      <x:c r="C6" t="str">
        <x:v>13_Rates_2026_27 uses official 2026/27 rates; Bristol and Edinburgh rateable values are still missing, so no actual bill is calculated.</x:v>
      </x:c>
    </x:row>
    <x:row r="7">
      <x:c r="A7" t="str">
        <x:v>Occupancy costs</x:v>
      </x:c>
      <x:c r="B7" t="str">
        <x:v>BLOCKER</x:v>
      </x:c>
      <x:c r="C7" t="str">
        <x:v>Fully loaded contribution is now blank where any occupancy component is missing; column W retains a clearly labelled known-cost-only contribution.</x:v>
      </x:c>
    </x:row>
    <x:row r="8">
      <x:c r="A8" t="str">
        <x:v>VAT</x:v>
      </x:c>
      <x:c r="B8" t="str">
        <x:v>LIMITATION</x:v>
      </x:c>
      <x:c r="C8" t="str">
        <x:v>Uniform 20% VAT is a simplifying assumption, not a tax-validated product mix.</x:v>
      </x:c>
    </x:row>
    <x:row r="9">
      <x:c r="A9" t="str">
        <x:v>Source log</x:v>
      </x:c>
      <x:c r="B9" t="str">
        <x:v>PENDING</x:v>
      </x:c>
      <x:c r="C9" t="str">
        <x:v>Canonical workbook names present, but original source URLs, vintage and access dates require final source-log review.</x:v>
      </x:c>
    </x:row>
    <x:row r="10">
      <x:c r="A10" t="str">
        <x:v>Static legacy QA</x:v>
      </x:c>
      <x:c r="B10" t="str">
        <x:v>LIMITATION</x:v>
      </x:c>
      <x:c r="C10" t="str">
        <x:v>11_QA preserves historical output comparisons; use 10_Formula_QA for live tests.</x:v>
      </x:c>
    </x:row>
    <x:row r="11">
      <x:c r="A11" t="str">
        <x:v>GitHub release</x:v>
      </x:c>
      <x:c r="B11" t="str">
        <x:v>HOLD</x:v>
      </x:c>
      <x:c r="C11" t="str">
        <x:v>Do not publish as a lease-ready financial case; site rateable values and service charges need independent verification.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62" hidden="0" customWidth="1"/>
    <x:col min="3" max="3" width="22" hidden="0" customWidth="1"/>
    <x:col min="4" max="4" width="18" hidden="0" customWidth="1"/>
    <x:col min="5" max="5" width="24" hidden="0" customWidth="1"/>
    <x:col min="6" max="6" width="76" hidden="0" customWidth="1"/>
  </x:cols>
  <x:sheetData>
    <x:row r="1">
      <x:c r="A1" s="17" t="str">
        <x:v>2026/27 BUSINESS RATES | INDICATIVE CALCULATOR</x:v>
      </x:c>
      <x:c r="B1" s="17"/>
      <x:c r="C1" s="17"/>
      <x:c r="D1" s="17"/>
      <x:c r="E1" s="17"/>
      <x:c r="F1" s="17"/>
    </x:row>
    <x:row r="2">
      <x:c r="A2" s="19" t="str">
        <x:v>Jurisdiction</x:v>
      </x:c>
      <x:c r="B2" s="19" t="str">
        <x:v>Rateable value (£)</x:v>
      </x:c>
      <x:c r="C2" s="19" t="str">
        <x:v>Hospitality eligible?</x:v>
      </x:c>
      <x:c r="D2" s="19" t="str">
        <x:v>Multiplier</x:v>
      </x:c>
      <x:c r="E2" s="19" t="str">
        <x:v>Gross annual rates (£)</x:v>
      </x:c>
      <x:c r="F2" s="19" t="str">
        <x:v>Notes</x:v>
      </x:c>
    </x:row>
    <x:row r="3">
      <x:c r="A3" t="str">
        <x:v>England</x:v>
      </x:c>
      <x:c r="B3"/>
      <x:c r="C3" t="str">
        <x:v>Yes</x:v>
      </x:c>
      <x:c r="D3" s="20" t="str">
        <x:f>IF(B3="","",IF(B3&lt;51000,IF(C3="Yes",0.382,0.432),IF(B3&lt;500000,IF(C3="Yes",0.43,0.48),0.508)))</x:f>
      </x:c>
      <x:c r="E3" s="21" t="str">
        <x:f>IF(OR(B3="",D3=""),"",B3*D3)</x:f>
      </x:c>
      <x:c r="F3" t="str">
        <x:v>Enter 2026 list rateable value; council to confirm eligibility</x:v>
      </x:c>
    </x:row>
    <x:row r="4">
      <x:c r="A4" t="str">
        <x:v>Scotland</x:v>
      </x:c>
      <x:c r="B4"/>
      <x:c r="C4" t="str">
        <x:v>Yes</x:v>
      </x:c>
      <x:c r="D4" s="20" t="str">
        <x:f>IF(B4="","",IF(B4&lt;=51000,0.481,IF(B4&lt;=100000,0.535,0.548)))</x:f>
      </x:c>
      <x:c r="E4" s="21" t="str">
        <x:f>IF(OR(B4="",D4=""),"",B4*D4*(1-IF(AND(C4="Yes",B4&lt;=100000),0.15,0)))</x:f>
      </x:c>
      <x:c r="F4" t="str">
        <x:v>Mainland relief assumed 15%; eligibility/cap must be verified</x:v>
      </x:c>
    </x:row>
    <x:row r="5">
      <x:c r="A5" t="str">
        <x:v>England thresholds</x:v>
      </x:c>
      <x:c r="B5" t="n">
        <x:v>51000</x:v>
      </x:c>
      <x:c r="C5" t="n">
        <x:v>500000</x:v>
      </x:c>
      <x:c r="D5" t="n">
        <x:v>0.382</x:v>
      </x:c>
      <x:c r="E5" t="n">
        <x:v>0.43</x:v>
      </x:c>
      <x:c r="F5" t="str">
        <x:v>RHL multipliers: RV &lt;51k .382; 51k to &lt;500k .43; &gt;=500k .508</x:v>
      </x:c>
    </x:row>
    <x:row r="6">
      <x:c r="A6" t="str">
        <x:v>Scotland thresholds</x:v>
      </x:c>
      <x:c r="B6" t="n">
        <x:v>51000</x:v>
      </x:c>
      <x:c r="C6" t="n">
        <x:v>100000</x:v>
      </x:c>
      <x:c r="D6" t="n">
        <x:v>0.481</x:v>
      </x:c>
      <x:c r="E6" t="n">
        <x:v>0.535</x:v>
      </x:c>
      <x:c r="F6" t="str">
        <x:v>Basic up to £51k; intermediate £51,001–£100k; higher .548</x:v>
      </x:c>
    </x:row>
    <x:row r="7">
      <x:c r="A7" t="str">
        <x:v>England RHL large multiplier</x:v>
      </x:c>
      <x:c r="B7" t="n">
        <x:v>0.508</x:v>
      </x:c>
      <x:c r="C7"/>
      <x:c r="D7"/>
      <x:c r="E7"/>
      <x:c r="F7" t="str">
        <x:v>For RV &gt;=£500,000</x:v>
      </x:c>
    </x:row>
    <x:row r="8">
      <x:c r="A8" t="str">
        <x:v>Scotland higher multiplier</x:v>
      </x:c>
      <x:c r="B8" t="n">
        <x:v>0.548</x:v>
      </x:c>
      <x:c r="C8"/>
      <x:c r="D8"/>
      <x:c r="E8"/>
      <x:c r="F8" t="str">
        <x:v>For RV &gt;£100,000</x:v>
      </x:c>
    </x:row>
    <x:row r="9">
      <x:c r="A9" t="str">
        <x:v>Scotland mainland indicative relief</x:v>
      </x:c>
      <x:c r="B9" t="n">
        <x:v>0.15</x:v>
      </x:c>
      <x:c r="C9"/>
      <x:c r="D9"/>
      <x:c r="E9"/>
      <x:c r="F9" t="str">
        <x:v>15% only if qualifying; excludes other reliefs and business-wide cap</x:v>
      </x:c>
    </x:row>
    <x:row r="10">
      <x:c r="A10" t="str">
        <x:v>England official source</x:v>
      </x:c>
      <x:c r="B10" t="str">
        <x:v>https://www.gov.uk/estimate-your-business-rates</x:v>
      </x:c>
      <x:c r="C10"/>
      <x:c r="D10"/>
      <x:c r="E10"/>
      <x:c r="F10" t="str">
        <x:v>2026/27, accessed 2026-10-08</x:v>
      </x:c>
    </x:row>
    <x:row r="11">
      <x:c r="A11" t="str">
        <x:v>Scotland official source</x:v>
      </x:c>
      <x:c r="B11" t="str">
        <x:v>https://www.gov.scot/policies/local-government/non-domestic-rates/</x:v>
      </x:c>
      <x:c r="C11"/>
      <x:c r="D11"/>
      <x:c r="E11"/>
      <x:c r="F11" t="str">
        <x:v>2026/27, accessed 2026-10-08</x:v>
      </x:c>
    </x:row>
    <x:row r="12">
      <x:c r="A12" t="str">
        <x:v>Scotland relief source</x:v>
      </x:c>
      <x:c r="B12" t="str">
        <x:v>https://www.mygov.scot/non-domestic-rates-relief/hospitality-relief</x:v>
      </x:c>
      <x:c r="C12"/>
      <x:c r="D12"/>
      <x:c r="E12"/>
      <x:c r="F12" t="str">
        <x:v>2026/27; verify eligibility and caps</x:v>
      </x:c>
    </x:row>
    <x:row r="13">
      <x:c r="A13" t="str">
        <x:v>CAUTION</x:v>
      </x:c>
      <x:c r="B13" t="str">
        <x:v>No site RV verified for Bristol / Edinburgh</x:v>
      </x:c>
      <x:c r="C13"/>
      <x:c r="D13"/>
      <x:c r="E13"/>
      <x:c r="F13" t="str">
        <x:v>Do not substitute asking rent for rateable value</x:v>
      </x:c>
    </x:row>
  </x:sheetData>
  <x:pageMargins left="0.7" right="0.7" top="0.75" bottom="0.75" header="0.3" footer="0.3"/>
</x:worksheet>
</file>